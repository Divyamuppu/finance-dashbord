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" sheetId="1" r:id="rId5"/>
    <sheet state="visible" name="Expenses" sheetId="2" r:id="rId6"/>
    <sheet state="visible" name="Income Statement" sheetId="3" r:id="rId7"/>
    <sheet state="visible" name="Investment" sheetId="4" r:id="rId8"/>
    <sheet state="visible" name="monthly PL" sheetId="5" r:id="rId9"/>
    <sheet state="visible" name="Quarterly Revenue" sheetId="6" r:id="rId10"/>
  </sheets>
  <definedNames/>
  <calcPr/>
</workbook>
</file>

<file path=xl/sharedStrings.xml><?xml version="1.0" encoding="utf-8"?>
<sst xmlns="http://schemas.openxmlformats.org/spreadsheetml/2006/main" count="2082" uniqueCount="1035">
  <si>
    <t>Income Statement (FY 2024-25)</t>
  </si>
  <si>
    <t>Particulars</t>
  </si>
  <si>
    <t>Atom</t>
  </si>
  <si>
    <t>Total</t>
  </si>
  <si>
    <t>Revenue</t>
  </si>
  <si>
    <t>F</t>
  </si>
  <si>
    <t>Project</t>
  </si>
  <si>
    <t>S No.</t>
  </si>
  <si>
    <t>Budget (including GST)</t>
  </si>
  <si>
    <t>Type Of Expenses</t>
  </si>
  <si>
    <t>Less:</t>
  </si>
  <si>
    <t>Date</t>
  </si>
  <si>
    <t>Project/operational</t>
  </si>
  <si>
    <t>Advance/Payment</t>
  </si>
  <si>
    <t>Amount</t>
  </si>
  <si>
    <t>TDS amount</t>
  </si>
  <si>
    <t>TDS</t>
  </si>
  <si>
    <t>Total Amount</t>
  </si>
  <si>
    <t>Balance</t>
  </si>
  <si>
    <t>Shoot &amp; Other Expenses</t>
  </si>
  <si>
    <t>Column 1</t>
  </si>
  <si>
    <t>Column 2</t>
  </si>
  <si>
    <t>Column 3</t>
  </si>
  <si>
    <t>Column 4</t>
  </si>
  <si>
    <t>Mithil Sound</t>
  </si>
  <si>
    <t>Think9(Broadway)</t>
  </si>
  <si>
    <t>Sattva Sound Design</t>
  </si>
  <si>
    <t>Full Payment</t>
  </si>
  <si>
    <t>Salaries</t>
  </si>
  <si>
    <t>April</t>
  </si>
  <si>
    <t>Peter Makeup</t>
  </si>
  <si>
    <t>Abhibus Makeup</t>
  </si>
  <si>
    <t>May</t>
  </si>
  <si>
    <t>June</t>
  </si>
  <si>
    <t>July</t>
  </si>
  <si>
    <t>Dabbahwala LLc - April LYF</t>
  </si>
  <si>
    <t>Sound Space</t>
  </si>
  <si>
    <t>TDP podcast  Sync</t>
  </si>
  <si>
    <t xml:space="preserve">August </t>
  </si>
  <si>
    <t>Finone(Disruptive Media) -LFY</t>
  </si>
  <si>
    <t>September</t>
  </si>
  <si>
    <t>Om Travels</t>
  </si>
  <si>
    <t>IP Shoot - Hyd food travel</t>
  </si>
  <si>
    <t>October</t>
  </si>
  <si>
    <t>Think9(Broadway) - Balance Payment of last FY project</t>
  </si>
  <si>
    <t>November</t>
  </si>
  <si>
    <t>Full payment WO GST</t>
  </si>
  <si>
    <t>December</t>
  </si>
  <si>
    <t xml:space="preserve">MMT </t>
  </si>
  <si>
    <t>January</t>
  </si>
  <si>
    <t>February</t>
  </si>
  <si>
    <t>pending gst payment</t>
  </si>
  <si>
    <t>March</t>
  </si>
  <si>
    <t>GST</t>
  </si>
  <si>
    <t>April GST</t>
  </si>
  <si>
    <t>Bambinos -LFY</t>
  </si>
  <si>
    <t>May GST</t>
  </si>
  <si>
    <t>Balance 35% (2nd Installment)</t>
  </si>
  <si>
    <t>June GST</t>
  </si>
  <si>
    <t>July GST</t>
  </si>
  <si>
    <t>Shaikh Rasheed Pasha</t>
  </si>
  <si>
    <t>August GST</t>
  </si>
  <si>
    <t>Finone Location Charges</t>
  </si>
  <si>
    <t>September GST</t>
  </si>
  <si>
    <t>October GST</t>
  </si>
  <si>
    <t>November GST</t>
  </si>
  <si>
    <t>December GST</t>
  </si>
  <si>
    <t>January GST</t>
  </si>
  <si>
    <t>Feb GST</t>
  </si>
  <si>
    <t>March GST</t>
  </si>
  <si>
    <t>Balance 30% (Balance Payment)</t>
  </si>
  <si>
    <t>Total expenses</t>
  </si>
  <si>
    <t>Jhansi Art Director</t>
  </si>
  <si>
    <t>Finone Art fees and props</t>
  </si>
  <si>
    <t>Hala Mobility - March - Retainer Fees - (March) Last FY</t>
  </si>
  <si>
    <t>march month retainer payment</t>
  </si>
  <si>
    <t>Profit</t>
  </si>
  <si>
    <t xml:space="preserve">Pranita Bajoria - Apoorv Guest Session </t>
  </si>
  <si>
    <t>Apoorv</t>
  </si>
  <si>
    <t>Rapture Innovation - Sonic Lamb</t>
  </si>
  <si>
    <t>50% Advance Payment</t>
  </si>
  <si>
    <t>A Mohan Kumar</t>
  </si>
  <si>
    <t>50% balance Payment</t>
  </si>
  <si>
    <t>Catering Aadvance - Bambinos</t>
  </si>
  <si>
    <t>Zomato Packathon Event</t>
  </si>
  <si>
    <t>Full payment</t>
  </si>
  <si>
    <t>Bambinos Art 1st Installment</t>
  </si>
  <si>
    <t>Nxtwave(3 vdos)</t>
  </si>
  <si>
    <t>Bangaru Naidu</t>
  </si>
  <si>
    <t>Catering - Finone</t>
  </si>
  <si>
    <t>ITC Sunrise(Social)</t>
  </si>
  <si>
    <t xml:space="preserve">Divyanshu </t>
  </si>
  <si>
    <t>Team Expenses</t>
  </si>
  <si>
    <t>Thub Corporate Short Vdo(LYF)</t>
  </si>
  <si>
    <t>Balance payment</t>
  </si>
  <si>
    <t>Dabbahwala LLC - May Retainer Fees(LFY)</t>
  </si>
  <si>
    <t>Advance payment</t>
  </si>
  <si>
    <t>RPS Hospitality</t>
  </si>
  <si>
    <t>Bambinos Shoot Location Advance</t>
  </si>
  <si>
    <t>Abhibus Balance(LFY project)</t>
  </si>
  <si>
    <t>Gst Amount</t>
  </si>
  <si>
    <t>Bambinos  - 50k given(44680 got returned after deductions)</t>
  </si>
  <si>
    <t>Hala Mobility - Retainer Fees - April(lyf)</t>
  </si>
  <si>
    <t>Full payment - May</t>
  </si>
  <si>
    <t>Sattva IP's</t>
  </si>
  <si>
    <t>60% Advance payment</t>
  </si>
  <si>
    <t>Angad Bhatia</t>
  </si>
  <si>
    <t>Bmabinos DOP Advance</t>
  </si>
  <si>
    <t>40% advance payment</t>
  </si>
  <si>
    <t>MMT</t>
  </si>
  <si>
    <t>June Income Statement</t>
  </si>
  <si>
    <t>Accrual</t>
  </si>
  <si>
    <t>Gross Revenue</t>
  </si>
  <si>
    <t>81,42,289</t>
  </si>
  <si>
    <t>TCS(Ayanz food lab) - Retainer - May</t>
  </si>
  <si>
    <t>Advance</t>
  </si>
  <si>
    <t>Less: GST</t>
  </si>
  <si>
    <t>10,81,989</t>
  </si>
  <si>
    <t>Eleven Labs</t>
  </si>
  <si>
    <t>Net Revenue</t>
  </si>
  <si>
    <t>70,60,300</t>
  </si>
  <si>
    <t>Operational</t>
  </si>
  <si>
    <t>Less: Expenses</t>
  </si>
  <si>
    <t>Shoot Expenses</t>
  </si>
  <si>
    <t>43,57,611</t>
  </si>
  <si>
    <t>balance</t>
  </si>
  <si>
    <t>Bambinos Shoot Location Balance</t>
  </si>
  <si>
    <t>19,67,630</t>
  </si>
  <si>
    <t>TCS(Ayanz food lab) - Retainer - June</t>
  </si>
  <si>
    <t>full payment without gst</t>
  </si>
  <si>
    <t>Total Expenses</t>
  </si>
  <si>
    <t>GST Input</t>
  </si>
  <si>
    <t>63,25,241</t>
  </si>
  <si>
    <t>7,35,059</t>
  </si>
  <si>
    <t>TCS - Retainer - Jan 26</t>
  </si>
  <si>
    <t>Bambinos Art 2nd Installment</t>
  </si>
  <si>
    <t>TCS - Retainer - Feb 26</t>
  </si>
  <si>
    <t>Cash Basis</t>
  </si>
  <si>
    <t>Accrual Basis</t>
  </si>
  <si>
    <t xml:space="preserve"> Income Statement</t>
  </si>
  <si>
    <t xml:space="preserve">FY 23-24 Income Statement </t>
  </si>
  <si>
    <t>Last year</t>
  </si>
  <si>
    <t>Manikanta</t>
  </si>
  <si>
    <t>Equipment Payment from multiple shoots</t>
  </si>
  <si>
    <t>TCS - Retainer - March 26</t>
  </si>
  <si>
    <t>1,68,76,20</t>
  </si>
  <si>
    <t>1,82,22,830</t>
  </si>
  <si>
    <t>23,50,112</t>
  </si>
  <si>
    <t>27,79,754</t>
  </si>
  <si>
    <t>Zomato Voice Over - dubs</t>
  </si>
  <si>
    <t>1,45,26,178</t>
  </si>
  <si>
    <t>1,54,43,076</t>
  </si>
  <si>
    <t>Catering Balance - bambinos</t>
  </si>
  <si>
    <t>Nxtwave Lab Innovation Vdo</t>
  </si>
  <si>
    <t>63,04,815</t>
  </si>
  <si>
    <t>66,30,065</t>
  </si>
  <si>
    <t>52,53,618</t>
  </si>
  <si>
    <t>52,66,676</t>
  </si>
  <si>
    <t>1,15,58,433</t>
  </si>
  <si>
    <t>1,18,96,741</t>
  </si>
  <si>
    <t>Select(Celeket Gadgets)</t>
  </si>
  <si>
    <t>Rohit Dubey</t>
  </si>
  <si>
    <t>Sattva Voice Over Artist - 1st installment</t>
  </si>
  <si>
    <t>30% advance Payment</t>
  </si>
  <si>
    <t>29,67,745</t>
  </si>
  <si>
    <t>35,46,335</t>
  </si>
  <si>
    <t>Share of each partner</t>
  </si>
  <si>
    <t>Profit %</t>
  </si>
  <si>
    <t>April to 20th August Income Statement</t>
  </si>
  <si>
    <t xml:space="preserve">FY 24-25 Income Statement </t>
  </si>
  <si>
    <t>Siva Gangadhar</t>
  </si>
  <si>
    <t>Makeup - Plastic Shoot</t>
  </si>
  <si>
    <t>Balance Payment</t>
  </si>
  <si>
    <t>Akanksha</t>
  </si>
  <si>
    <t>1,29,20,919</t>
  </si>
  <si>
    <t>Less</t>
  </si>
  <si>
    <t xml:space="preserve">Flight Booking Reimbursement </t>
  </si>
  <si>
    <t>12,42,044</t>
  </si>
  <si>
    <t>19,70,988</t>
  </si>
  <si>
    <t>69,00,245</t>
  </si>
  <si>
    <t>1,09,49,931</t>
  </si>
  <si>
    <t>Eshvar Aditya</t>
  </si>
  <si>
    <t>Zentech DOP Fees</t>
  </si>
  <si>
    <t>Hala Mobility Monthly Retainer - May</t>
  </si>
  <si>
    <t>loss</t>
  </si>
  <si>
    <t>5,75,004</t>
  </si>
  <si>
    <t>46,24,690</t>
  </si>
  <si>
    <t>Zomato Dub - Monika</t>
  </si>
  <si>
    <t>Dhanya</t>
  </si>
  <si>
    <t>Emcee for broadway and abhibus actor</t>
  </si>
  <si>
    <t>Location Rent for Dabbahwala Shoot</t>
  </si>
  <si>
    <t>Dabbahwala LLC - June Retainer Fees(LFY)</t>
  </si>
  <si>
    <t>Nxtwave green Screen Shoot</t>
  </si>
  <si>
    <t>TDS payment</t>
  </si>
  <si>
    <t>Jumpp - Finfutech</t>
  </si>
  <si>
    <t>50% Advance</t>
  </si>
  <si>
    <t>Sattva Voice Over Artist - 2nd installment</t>
  </si>
  <si>
    <t>25% balance</t>
  </si>
  <si>
    <t>Angad Bahtia</t>
  </si>
  <si>
    <t>Bambinos DOP Balance</t>
  </si>
  <si>
    <t>25% Balance</t>
  </si>
  <si>
    <t>Jumpp Social Retainer - Finvasia</t>
  </si>
  <si>
    <t>Syed Muneeb</t>
  </si>
  <si>
    <t>Zentech + Inhouse + Ip Shoot Actor fees</t>
  </si>
  <si>
    <t>100% Payment</t>
  </si>
  <si>
    <t>Yourdost</t>
  </si>
  <si>
    <t>March Invoice - Operational</t>
  </si>
  <si>
    <t>Zomato ITR Social</t>
  </si>
  <si>
    <t>Travel Reimbursement</t>
  </si>
  <si>
    <t>Dabur India</t>
  </si>
  <si>
    <t>Dabur Kill Fees</t>
  </si>
  <si>
    <t>Medanta Hospitals - Global health</t>
  </si>
  <si>
    <t>Mote Sai Sohan</t>
  </si>
  <si>
    <t>Hala Actor Fees</t>
  </si>
  <si>
    <t>Zomato Reactivate</t>
  </si>
  <si>
    <t>Dabbahwala Catering</t>
  </si>
  <si>
    <t>Hala Mobility - June</t>
  </si>
  <si>
    <t>Karya &amp; Gravity Zip Retainer - July</t>
  </si>
  <si>
    <t>Gravityzip Full Payment</t>
  </si>
  <si>
    <t>Shashank</t>
  </si>
  <si>
    <t>Broadway Event Videographer Fees</t>
  </si>
  <si>
    <t>Karya Full Payment</t>
  </si>
  <si>
    <t>Karya &amp; Gravity Zip Retainer - August</t>
  </si>
  <si>
    <t>Podcast Sound Setup</t>
  </si>
  <si>
    <t>Karya &amp; Dividant Retainer - September</t>
  </si>
  <si>
    <t>Saksham</t>
  </si>
  <si>
    <t>Gzip partial Payment</t>
  </si>
  <si>
    <t>Shoot Reimbursement</t>
  </si>
  <si>
    <t>Gzip Balance Payment</t>
  </si>
  <si>
    <t>Karya &amp; Gravity Zip Retainer - October</t>
  </si>
  <si>
    <t>Open ai Subscription</t>
  </si>
  <si>
    <t>Amount 2</t>
  </si>
  <si>
    <t>Amount 3</t>
  </si>
  <si>
    <t>Karya &amp; Gravity Zip Retainer - November</t>
  </si>
  <si>
    <t>Dabbahwala Full Payment</t>
  </si>
  <si>
    <t>Karya &amp; Gravity Zip Retainer - December</t>
  </si>
  <si>
    <t>Resonate Studios</t>
  </si>
  <si>
    <t>Abhibus Sound Design</t>
  </si>
  <si>
    <t>Pranita Bajoria</t>
  </si>
  <si>
    <t xml:space="preserve">TCS(Ayanz food lab) </t>
  </si>
  <si>
    <t>Karya &amp; Gravity Zip Retainer - January</t>
  </si>
  <si>
    <t>Esvaraditya</t>
  </si>
  <si>
    <t>Finone DOP</t>
  </si>
  <si>
    <t>177000</t>
  </si>
  <si>
    <t>Karya &amp; Gravity Zip Retainer - February</t>
  </si>
  <si>
    <t>Dabur</t>
  </si>
  <si>
    <t>Vamshi</t>
  </si>
  <si>
    <t>572300</t>
  </si>
  <si>
    <t>Dabbahwala DOP payment</t>
  </si>
  <si>
    <t>Medanta Hospitals</t>
  </si>
  <si>
    <t>Karya &amp; Gravity Zip Retainer - March</t>
  </si>
  <si>
    <t>Karya &amp; Gravity Zip Retainer - April</t>
  </si>
  <si>
    <t>Satvik</t>
  </si>
  <si>
    <t>Hala Mobility - June(Extra)</t>
  </si>
  <si>
    <t>Karya &amp; Gravity Zip Retainer - May</t>
  </si>
  <si>
    <t>Karya &amp; Gravityzip</t>
  </si>
  <si>
    <t>Openai</t>
  </si>
  <si>
    <t>Sonic lamb</t>
  </si>
  <si>
    <t>Karya &amp; Gravity Zip Retainer - June</t>
  </si>
  <si>
    <t>Symbont</t>
  </si>
  <si>
    <t xml:space="preserve">Sonic Lamb Location </t>
  </si>
  <si>
    <t>GST INPUT</t>
  </si>
  <si>
    <t>Rapture Innovation - Sonic Lamb Campaign</t>
  </si>
  <si>
    <t>50% Balance Payment</t>
  </si>
  <si>
    <t>Bambinos Art Fees</t>
  </si>
  <si>
    <t>done</t>
  </si>
  <si>
    <t>Shivani k Kapoor</t>
  </si>
  <si>
    <t>Bambinos Actor Travel &amp; Food Bills</t>
  </si>
  <si>
    <t>IIMR</t>
  </si>
  <si>
    <t>IIMR balance 50%</t>
  </si>
  <si>
    <t>Sonic Lamb Art Advance</t>
  </si>
  <si>
    <t>ITC - 2 Months</t>
  </si>
  <si>
    <t>Envato</t>
  </si>
  <si>
    <t xml:space="preserve">Full Payment </t>
  </si>
  <si>
    <t xml:space="preserve">Nxtwave </t>
  </si>
  <si>
    <t>Heygen</t>
  </si>
  <si>
    <t>extra 40k for actors</t>
  </si>
  <si>
    <t>Venkata Praveen</t>
  </si>
  <si>
    <t>DIT - Dabbahwala</t>
  </si>
  <si>
    <t>Tirumala Jewellers</t>
  </si>
  <si>
    <t>1st Month Full Payment</t>
  </si>
  <si>
    <t>K Simon Peter</t>
  </si>
  <si>
    <t>Shakti Hormann</t>
  </si>
  <si>
    <t>Makeup - Dabbah Wala &amp; Bambinos</t>
  </si>
  <si>
    <t>Abhishek Boodepalli</t>
  </si>
  <si>
    <t>Sonic Lamb Actor</t>
  </si>
  <si>
    <t>Snapdeal - WLDD</t>
  </si>
  <si>
    <t>50% advance</t>
  </si>
  <si>
    <t>50% balance</t>
  </si>
  <si>
    <t>Adobe Subscription</t>
  </si>
  <si>
    <t>Nxtwave Contract - july</t>
  </si>
  <si>
    <t>full payment</t>
  </si>
  <si>
    <t>Hala July</t>
  </si>
  <si>
    <t>Clickup Subscription</t>
  </si>
  <si>
    <t>Hala August</t>
  </si>
  <si>
    <t>Ala Subramanyam</t>
  </si>
  <si>
    <t>Hala September</t>
  </si>
  <si>
    <t>Hala October</t>
  </si>
  <si>
    <t>Tejaswini Actor</t>
  </si>
  <si>
    <t>Dabbahwala Actor</t>
  </si>
  <si>
    <t>Hala November</t>
  </si>
  <si>
    <t>Anandvolu Venkat</t>
  </si>
  <si>
    <t>Sirisha - Dabbahwala Actor</t>
  </si>
  <si>
    <t>Medanta - Global Health</t>
  </si>
  <si>
    <t>30% advance payment -  Banno</t>
  </si>
  <si>
    <t>Sandeep Sahu</t>
  </si>
  <si>
    <t>20% advance - Banno</t>
  </si>
  <si>
    <t>Finone Actor</t>
  </si>
  <si>
    <t>20% Balance</t>
  </si>
  <si>
    <t>Equipment rental installment - Balance is still left</t>
  </si>
  <si>
    <t>Zomato Earnpro</t>
  </si>
  <si>
    <t>Zomato - Dubs</t>
  </si>
  <si>
    <t>Sonic Lamb Art Fees and Balance Payment</t>
  </si>
  <si>
    <t>T-Bridge</t>
  </si>
  <si>
    <t>Zomato Sustainability EV Bazar</t>
  </si>
  <si>
    <t>Dista</t>
  </si>
  <si>
    <t>Prasanna</t>
  </si>
  <si>
    <t>Sonic Lamb Actress fees and Casting fees</t>
  </si>
  <si>
    <t>Bharath</t>
  </si>
  <si>
    <t>Sonic Lamb &amp; Dabbahwala AD fees</t>
  </si>
  <si>
    <t>Paytm Bhaidooj</t>
  </si>
  <si>
    <t>Junaid</t>
  </si>
  <si>
    <t>Paytm - Sept</t>
  </si>
  <si>
    <t>Nxtwave Cinematographer Advance and travel</t>
  </si>
  <si>
    <t>Dabbahwala Travel - Production</t>
  </si>
  <si>
    <t>Paytm - Oct</t>
  </si>
  <si>
    <t>Paytm - Nov</t>
  </si>
  <si>
    <t>Akhil</t>
  </si>
  <si>
    <t>Extra TDS Deducted in salary - Refunded</t>
  </si>
  <si>
    <t>Paytm - Dec</t>
  </si>
  <si>
    <t>Paytm - Jan</t>
  </si>
  <si>
    <t>Viren Goswamy</t>
  </si>
  <si>
    <t>ASBL Pre Pitch Fees for Ai tools and Generation</t>
  </si>
  <si>
    <t>Zomato ITR - Preeti(Vertical reel)</t>
  </si>
  <si>
    <t>Nxtwave Contract - August</t>
  </si>
  <si>
    <t xml:space="preserve">Junaid </t>
  </si>
  <si>
    <t>Nxtwave Balance</t>
  </si>
  <si>
    <t>Apollo Motion Grpahic Vdo</t>
  </si>
  <si>
    <t>70% advance</t>
  </si>
  <si>
    <t>Jasraj Manga</t>
  </si>
  <si>
    <t>Dabbahwala Actor Fees</t>
  </si>
  <si>
    <t>30% balance</t>
  </si>
  <si>
    <t>team Shoot Expenses</t>
  </si>
  <si>
    <t>Wattpower</t>
  </si>
  <si>
    <t>MMT - Apoorv &amp; Satya</t>
  </si>
  <si>
    <t>Apoorv &amp; Satya Hyd to Banglore Flight</t>
  </si>
  <si>
    <t>Utkarsha</t>
  </si>
  <si>
    <t>Bambinos Chief AD fees</t>
  </si>
  <si>
    <t>Paytm Influencer - Jesus Mehta + Fees</t>
  </si>
  <si>
    <t>Monthly Subscription</t>
  </si>
  <si>
    <t>Paytm Influencer - Shadab+ Fees</t>
  </si>
  <si>
    <t>Apoorv &amp; Satya Banglore to hyd return Flight</t>
  </si>
  <si>
    <t>10% fees</t>
  </si>
  <si>
    <t>Openai chat</t>
  </si>
  <si>
    <t>Sattva Lago</t>
  </si>
  <si>
    <t>Clickupaddon</t>
  </si>
  <si>
    <t>Anmol Bhandari</t>
  </si>
  <si>
    <t>Aashirvaad Aata Shoot art director 50% fees</t>
  </si>
  <si>
    <t>Nxtwave September Contract</t>
  </si>
  <si>
    <t>Karan Uppal</t>
  </si>
  <si>
    <t>zomato packathon event Cine team advance</t>
  </si>
  <si>
    <t>Audible - WLDD</t>
  </si>
  <si>
    <t>Casting wire LLP</t>
  </si>
  <si>
    <t>Bambinos casting 50% advance</t>
  </si>
  <si>
    <t>Sunrise - ITC(Festive)</t>
  </si>
  <si>
    <t xml:space="preserve">Vamshi </t>
  </si>
  <si>
    <t>Zomato plastic vdo cinematographer advance fees</t>
  </si>
  <si>
    <t>chkusavala Kumar</t>
  </si>
  <si>
    <t>B New Ad films</t>
  </si>
  <si>
    <t xml:space="preserve">Manikanata - equipment </t>
  </si>
  <si>
    <t>40% Advance Payment</t>
  </si>
  <si>
    <t>15% Advance Payment</t>
  </si>
  <si>
    <t>J Chandu</t>
  </si>
  <si>
    <t xml:space="preserve">Manikanta - equipment </t>
  </si>
  <si>
    <t>45% Balance Payment</t>
  </si>
  <si>
    <t>Paytm - Dusshera REEL</t>
  </si>
  <si>
    <t>Kedar Sunil Subbe</t>
  </si>
  <si>
    <t xml:space="preserve">Reimbursement </t>
  </si>
  <si>
    <t>Paytm Nazarbattu Campaign</t>
  </si>
  <si>
    <t>Sanjay Kumar</t>
  </si>
  <si>
    <t>dabbahwala may location rent</t>
  </si>
  <si>
    <t>Zomato EV bazar Extra Video</t>
  </si>
  <si>
    <t>openai business plan</t>
  </si>
  <si>
    <t>Zomato DUBS Monika (18th Sept)</t>
  </si>
  <si>
    <t>Wattpower Film</t>
  </si>
  <si>
    <t>50% Balance</t>
  </si>
  <si>
    <t xml:space="preserve">Nxtwave October </t>
  </si>
  <si>
    <t>Anil Ramchandan</t>
  </si>
  <si>
    <t>Coffee Creative 30% advance</t>
  </si>
  <si>
    <t>Nxtwave lab Innovation 5.0</t>
  </si>
  <si>
    <t>Mahesh Jala</t>
  </si>
  <si>
    <t>dabbahwala Art fees</t>
  </si>
  <si>
    <t>Gowithin(Neelambari)</t>
  </si>
  <si>
    <t>Sonic Lamb Fees</t>
  </si>
  <si>
    <t>Bambinos casting 50% balance</t>
  </si>
  <si>
    <t>Paytm Amplification + Fees</t>
  </si>
  <si>
    <t>Don't Tell Dad - Cube clothing(launch campaign)</t>
  </si>
  <si>
    <t>33% Advance</t>
  </si>
  <si>
    <t>35% Advance</t>
  </si>
  <si>
    <t>Vipin Rawal</t>
  </si>
  <si>
    <t>Zomato Packathon Drone payment</t>
  </si>
  <si>
    <t>Ishaan Kumar</t>
  </si>
  <si>
    <t>Sonic Lamb Actor fees</t>
  </si>
  <si>
    <t>Medanta - Dr video prostate + TBL</t>
  </si>
  <si>
    <t>100% payment except TBL</t>
  </si>
  <si>
    <t>TBL Payment</t>
  </si>
  <si>
    <t>Sunrise Cateringh</t>
  </si>
  <si>
    <t>Advance Auto Parts</t>
  </si>
  <si>
    <t>DarshiniPm</t>
  </si>
  <si>
    <t>operational</t>
  </si>
  <si>
    <t>Advance Auto parts -  Delegation Visit</t>
  </si>
  <si>
    <t>Sound Equipments multiple shoots partial Payment</t>
  </si>
  <si>
    <t xml:space="preserve">Advance Auto parts - Employee videos </t>
  </si>
  <si>
    <t>Equipment partial payment</t>
  </si>
  <si>
    <t>Nxtwave November - 6 videos</t>
  </si>
  <si>
    <t>Lingual</t>
  </si>
  <si>
    <t>Multiple VO payments</t>
  </si>
  <si>
    <t>Think Ebikego - TPL - Dec 15th to Jan 15th</t>
  </si>
  <si>
    <t>Srestha</t>
  </si>
  <si>
    <t>Team expenses</t>
  </si>
  <si>
    <t>Excess Payment of 6th Jan 9.5L</t>
  </si>
  <si>
    <t>30% Payment</t>
  </si>
  <si>
    <t>EBG - TPL - JAN 15th to Jan 30th</t>
  </si>
  <si>
    <t>55.5% Advance Payment</t>
  </si>
  <si>
    <t>Think Ebikego - TPL- Influencer</t>
  </si>
  <si>
    <t>29% Advance Payment</t>
  </si>
  <si>
    <t>May Shoot &amp; Operational Expenses</t>
  </si>
  <si>
    <t>Dabbahwala Fees - AD</t>
  </si>
  <si>
    <t>12% Advance Payment</t>
  </si>
  <si>
    <t>Nxtwave Art boy fees</t>
  </si>
  <si>
    <t>14% Advance Payment</t>
  </si>
  <si>
    <t>Think Ebikego - TPL- Amplification</t>
  </si>
  <si>
    <t>Zomato Packathon Delhi team Balance Payments</t>
  </si>
  <si>
    <t>Sawan</t>
  </si>
  <si>
    <t>Think Ebikego - Communite Event</t>
  </si>
  <si>
    <t>Huemn Interactive Pvt Ltd</t>
  </si>
  <si>
    <t>Rent for two Months</t>
  </si>
  <si>
    <t>Zomato Pre Event Film - 2</t>
  </si>
  <si>
    <t>Including GSt - Need Input</t>
  </si>
  <si>
    <t>Jiostar Telugu - BB Jodi</t>
  </si>
  <si>
    <t>82% Payment</t>
  </si>
  <si>
    <t>Makeup fees for two projects</t>
  </si>
  <si>
    <t>Paytm Makar Sankranti &amp; Ugadi</t>
  </si>
  <si>
    <t>Catering for sunrise</t>
  </si>
  <si>
    <t>Paytm Travel panti</t>
  </si>
  <si>
    <t>Nxtwave Shoot videographer fees</t>
  </si>
  <si>
    <t>Jiohotstar - Vikram on Duty</t>
  </si>
  <si>
    <t xml:space="preserve">Base Amount </t>
  </si>
  <si>
    <t>Chandana Shopping Mall Ad + Photoshoot</t>
  </si>
  <si>
    <t>Art Director Balance Fees - ITC Chatt pooja</t>
  </si>
  <si>
    <t>Bob Christo</t>
  </si>
  <si>
    <t>2 Month Hala payment - actor</t>
  </si>
  <si>
    <t>10%</t>
  </si>
  <si>
    <t>Balance of Ad</t>
  </si>
  <si>
    <t>Insta Mojo</t>
  </si>
  <si>
    <t>Award fees</t>
  </si>
  <si>
    <t>Zomato Event Edit - BLR</t>
  </si>
  <si>
    <t xml:space="preserve">Paytm Republic Day </t>
  </si>
  <si>
    <t>Art director advance - Select</t>
  </si>
  <si>
    <t>Unispeed(Pluto)</t>
  </si>
  <si>
    <t>70% Payment</t>
  </si>
  <si>
    <t>Meghana costume</t>
  </si>
  <si>
    <t>Costume stylist advance - select</t>
  </si>
  <si>
    <t>Unispeed(Pluto) - Extra Video</t>
  </si>
  <si>
    <t>Unispeed(Pluto) - Influencer</t>
  </si>
  <si>
    <t>Women's Day - Advance Auto Parts</t>
  </si>
  <si>
    <t>Sandeep Location Manager</t>
  </si>
  <si>
    <t>Location rent for Select</t>
  </si>
  <si>
    <t>Nxtwave(parents video)</t>
  </si>
  <si>
    <t>Catering advance -  Select</t>
  </si>
  <si>
    <r>
      <rPr>
        <rFont val="Calibri"/>
        <color rgb="FF434343"/>
        <sz val="12.0"/>
        <u/>
      </rPr>
      <t>Shadi.com</t>
    </r>
    <r>
      <rPr>
        <rFont val="Calibri"/>
        <color rgb="FF000000"/>
        <sz val="12.0"/>
      </rPr>
      <t xml:space="preserve"> Batch 1</t>
    </r>
  </si>
  <si>
    <t>equipment previous shoot balance</t>
  </si>
  <si>
    <t>Infinite - chroma store</t>
  </si>
  <si>
    <t>SSD for Select</t>
  </si>
  <si>
    <r>
      <rPr>
        <rFont val="Calibri"/>
        <color rgb="FF1155CC"/>
        <sz val="12.0"/>
        <u/>
      </rPr>
      <t>Shadi.com</t>
    </r>
    <r>
      <rPr>
        <rFont val="Calibri"/>
        <sz val="12.0"/>
      </rPr>
      <t xml:space="preserve"> Batch 2</t>
    </r>
  </si>
  <si>
    <t>location rent balance for selecf</t>
  </si>
  <si>
    <t>ITC Sunrise - 15 Videos</t>
  </si>
  <si>
    <t>Expenses</t>
  </si>
  <si>
    <t xml:space="preserve">Nxtwave Edit </t>
  </si>
  <si>
    <t>WLDD JECRC University Videos</t>
  </si>
  <si>
    <t>Previous shoot balance -  All clear</t>
  </si>
  <si>
    <t>Dabbahwala May Month - Actor fees</t>
  </si>
  <si>
    <t>Subryamanyam Ala</t>
  </si>
  <si>
    <t>AAP Townhall</t>
  </si>
  <si>
    <t>ITC Aashirvaad Spices - IP Series(6)</t>
  </si>
  <si>
    <t>Tamal</t>
  </si>
  <si>
    <t>Sonic Lamb actor fees</t>
  </si>
  <si>
    <t>DOP Care</t>
  </si>
  <si>
    <t>2 shoots equipment rental</t>
  </si>
  <si>
    <t>Batchmates</t>
  </si>
  <si>
    <t>Prateek Mahesh</t>
  </si>
  <si>
    <t>Sattva Colorist fees</t>
  </si>
  <si>
    <t>Kuku TV Telugu</t>
  </si>
  <si>
    <t>9k Gst</t>
  </si>
  <si>
    <t>Juanid</t>
  </si>
  <si>
    <t xml:space="preserve">packathon fees </t>
  </si>
  <si>
    <t>P Sandeep</t>
  </si>
  <si>
    <t>Location Manager Fees - Select</t>
  </si>
  <si>
    <t>Kuku TV Tamil</t>
  </si>
  <si>
    <t>Imraan Kadar</t>
  </si>
  <si>
    <t>Ac rental for select shoot</t>
  </si>
  <si>
    <t>ITC Sehore Farm Shoot</t>
  </si>
  <si>
    <t>24 Organic Mantra TVC</t>
  </si>
  <si>
    <t>Paytm Gold TVC</t>
  </si>
  <si>
    <t>Zomato</t>
  </si>
  <si>
    <t>100% Amount</t>
  </si>
  <si>
    <t>Telugu Invoice</t>
  </si>
  <si>
    <t>Total Revenue</t>
  </si>
  <si>
    <t>Premium Lifestyle</t>
  </si>
  <si>
    <t>Laptop</t>
  </si>
  <si>
    <t>Inc. GST</t>
  </si>
  <si>
    <t>Venkat Praveen</t>
  </si>
  <si>
    <t>select shoot DIT</t>
  </si>
  <si>
    <t>Vamsi</t>
  </si>
  <si>
    <t>plastic neutrality dop balance fees</t>
  </si>
  <si>
    <t>Saahil</t>
  </si>
  <si>
    <t xml:space="preserve">Alagnendra </t>
  </si>
  <si>
    <t>Raasta project - Freelancer Fees</t>
  </si>
  <si>
    <t>Aayush</t>
  </si>
  <si>
    <t>DOP - ITC</t>
  </si>
  <si>
    <t>Audio Vaani</t>
  </si>
  <si>
    <t>Hyd business trip expenses</t>
  </si>
  <si>
    <t>Shaurya Actor</t>
  </si>
  <si>
    <t>ITC actor fees</t>
  </si>
  <si>
    <t>Deepa Maheshwari</t>
  </si>
  <si>
    <t>Telugu Cine - Bangaru Naidu</t>
  </si>
  <si>
    <t>Select shoot Catering Balance</t>
  </si>
  <si>
    <t>IIMR Two days shoot - cinematographer</t>
  </si>
  <si>
    <t>Papputu roshni</t>
  </si>
  <si>
    <t>Dabbahwala Art Advance</t>
  </si>
  <si>
    <t>Adsert web soultions</t>
  </si>
  <si>
    <t>Awards entry IIMA South</t>
  </si>
  <si>
    <t xml:space="preserve">openai </t>
  </si>
  <si>
    <t>Mohd Muneeruddin</t>
  </si>
  <si>
    <t>Select Shoot Production - Cars</t>
  </si>
  <si>
    <t>Venkatesham</t>
  </si>
  <si>
    <t>Select Art Director Fees</t>
  </si>
  <si>
    <t>Select Shoot equipments Partial Payment</t>
  </si>
  <si>
    <t>Skyelns</t>
  </si>
  <si>
    <t>IIMR Drone Fees</t>
  </si>
  <si>
    <t>Select shoot &amp; Operational Team Expenses</t>
  </si>
  <si>
    <t>Bharath Reddy</t>
  </si>
  <si>
    <t>Dabbahwala Shoot Art Expenses Reiumbursement</t>
  </si>
  <si>
    <t>Select Store Assistant Director Fees</t>
  </si>
  <si>
    <t>Coffee cat creative</t>
  </si>
  <si>
    <t>Select store &amp; RE statics</t>
  </si>
  <si>
    <t>Prakash Sharma</t>
  </si>
  <si>
    <t>Dabur Director assistant kill fees</t>
  </si>
  <si>
    <t>Select costume balance</t>
  </si>
  <si>
    <t>Apronik Business</t>
  </si>
  <si>
    <t>Previous shoot equpment balance payment</t>
  </si>
  <si>
    <t>Dabbahwala Reels actor</t>
  </si>
  <si>
    <t>Krishna Golla</t>
  </si>
  <si>
    <t>Shoot expenes</t>
  </si>
  <si>
    <t>Haul Rider Enter</t>
  </si>
  <si>
    <t>ITR Shoot Paint - Dallas center</t>
  </si>
  <si>
    <t>Shoot &amp; Operational expenses</t>
  </si>
  <si>
    <t>Reimbursement</t>
  </si>
  <si>
    <t>Select Shoot Makeup fees</t>
  </si>
  <si>
    <t>Castingwire</t>
  </si>
  <si>
    <t>Casting - actor - Dabbahwala</t>
  </si>
  <si>
    <t>Inl. gst</t>
  </si>
  <si>
    <t>Abhijeet Sreenath</t>
  </si>
  <si>
    <t>Dabbahwala Actor fees</t>
  </si>
  <si>
    <t>Previos Shoots Equipment balance</t>
  </si>
  <si>
    <t>HEAL</t>
  </si>
  <si>
    <t>Medanta Shoot - Location(School)</t>
  </si>
  <si>
    <t>Amicus Speciality center</t>
  </si>
  <si>
    <t>Medanta Shoot - Location - clinic</t>
  </si>
  <si>
    <t>Medanta Shoot - Art Advance</t>
  </si>
  <si>
    <t>Medanta shoot - catering advance</t>
  </si>
  <si>
    <t>Saikiran Devi</t>
  </si>
  <si>
    <t>Zomato re-activate location fees</t>
  </si>
  <si>
    <t>Zomato re-activate catering advance</t>
  </si>
  <si>
    <t>Shiva ganadhar</t>
  </si>
  <si>
    <t>dabbahwala Makeup fees</t>
  </si>
  <si>
    <t>March pending invoice</t>
  </si>
  <si>
    <t>Chabootra monthly shoot actor fees</t>
  </si>
  <si>
    <t>Krea.ai</t>
  </si>
  <si>
    <t>Operational ai subs</t>
  </si>
  <si>
    <t>Zomato Re-activate Art Fees and rental</t>
  </si>
  <si>
    <t>Sajeesh DOP</t>
  </si>
  <si>
    <t>Select DOP Fees</t>
  </si>
  <si>
    <t>Kongara Vivek</t>
  </si>
  <si>
    <t>Select Dop assitants Fees</t>
  </si>
  <si>
    <t>Manchikanta Praveen</t>
  </si>
  <si>
    <t>DIT Medanta Shoot</t>
  </si>
  <si>
    <t>Yourdost health</t>
  </si>
  <si>
    <t>Andavolu Venkat</t>
  </si>
  <si>
    <t>Dabbahwala 2 reels May actor fees</t>
  </si>
  <si>
    <t>Balram tiwari</t>
  </si>
  <si>
    <t>BTS DOP Medanta</t>
  </si>
  <si>
    <t>Zomato re activate &amp; Hala podcast Equipment</t>
  </si>
  <si>
    <t>Jitendra satya</t>
  </si>
  <si>
    <t>IIMR Director Fees</t>
  </si>
  <si>
    <t>dabbahwala DOP fees - May</t>
  </si>
  <si>
    <t>Avik Arun</t>
  </si>
  <si>
    <t>Sonic Lamb DI Fees</t>
  </si>
  <si>
    <t>Mithil</t>
  </si>
  <si>
    <t>Select Sound Designer Fees</t>
  </si>
  <si>
    <t>Multiple shoots - Sync Sound Rent and Fees</t>
  </si>
  <si>
    <t>Medanta Shoot Murthy Lights Rentyal</t>
  </si>
  <si>
    <t>Rent with 2 month GST</t>
  </si>
  <si>
    <t>Incl GST - Need Input</t>
  </si>
  <si>
    <t>2 Shoots - AD Fees</t>
  </si>
  <si>
    <t>Vasant Sagar</t>
  </si>
  <si>
    <t>Hala &amp; Zomato ITR Shoot actor fees</t>
  </si>
  <si>
    <t>Select Color Grade Fees</t>
  </si>
  <si>
    <t>Siddanghana</t>
  </si>
  <si>
    <t>TCS Branding Team Fees (Partial)</t>
  </si>
  <si>
    <t>Kamaljeet Sigh</t>
  </si>
  <si>
    <t>Extras Fees</t>
  </si>
  <si>
    <t>Catering Balance Payment</t>
  </si>
  <si>
    <t xml:space="preserve">Award Submission </t>
  </si>
  <si>
    <t>2 Pending Invoices Payment</t>
  </si>
  <si>
    <t>Double Call sheet - Makeup fees - Medanta</t>
  </si>
  <si>
    <t>Medanta Actor fees</t>
  </si>
  <si>
    <t>Syed Abu Arshad</t>
  </si>
  <si>
    <t>Zomato re activate AD</t>
  </si>
  <si>
    <t>Ailia Jamel</t>
  </si>
  <si>
    <t>Dabbahwala June Food Stylist Fees</t>
  </si>
  <si>
    <t>Medanta equipment full Payment</t>
  </si>
  <si>
    <t>Nxtwave Shoot - Art Advance</t>
  </si>
  <si>
    <t>Medanta Casting Fees</t>
  </si>
  <si>
    <t>Chavan Kamal</t>
  </si>
  <si>
    <t>Zomato ITR Actor Fees</t>
  </si>
  <si>
    <t>Catering Advance - Nxtwave</t>
  </si>
  <si>
    <t>team expenses</t>
  </si>
  <si>
    <t>Rent - Nxtwave Shoot location</t>
  </si>
  <si>
    <t>Nxtwave art rental final</t>
  </si>
  <si>
    <t>Open ai subscription</t>
  </si>
  <si>
    <t>Monthly</t>
  </si>
  <si>
    <t>Ramsproject Ren</t>
  </si>
  <si>
    <t>Neha Tripathi</t>
  </si>
  <si>
    <t>KSR Unit Electronics</t>
  </si>
  <si>
    <t>Bhagya Laxmi</t>
  </si>
  <si>
    <t>Murthy Battha</t>
  </si>
  <si>
    <t>M Anil</t>
  </si>
  <si>
    <t>R Srujan Kumar</t>
  </si>
  <si>
    <t>Amazon Prime - Business</t>
  </si>
  <si>
    <t>Amazon Pay - Almirah</t>
  </si>
  <si>
    <t>Srinivas Rao</t>
  </si>
  <si>
    <t>Team Outing - Location rent - 50% Advance</t>
  </si>
  <si>
    <t>Nxtwave AD Fees</t>
  </si>
  <si>
    <t>Zaheer Ahmed Shai</t>
  </si>
  <si>
    <t xml:space="preserve">Makeup fees </t>
  </si>
  <si>
    <t>Syed Sha Mohmmad</t>
  </si>
  <si>
    <t>Bala Murali</t>
  </si>
  <si>
    <t>abhijeet Deshpande</t>
  </si>
  <si>
    <t>Zomato Reactivate Actor fees</t>
  </si>
  <si>
    <t>Aayush Gautam</t>
  </si>
  <si>
    <t>Zomato Reactivate DOP fees</t>
  </si>
  <si>
    <t>Makemy Trip - Flight</t>
  </si>
  <si>
    <t>Swapnil &amp; Akanksha Flight Ticket delhi to hyd</t>
  </si>
  <si>
    <t>Operational - July Rent</t>
  </si>
  <si>
    <t>operational &amp; Shoot expenses</t>
  </si>
  <si>
    <t>Nxtwave Actor Fees</t>
  </si>
  <si>
    <t>Operational &amp; Shoot expenses</t>
  </si>
  <si>
    <t>Team Offsite Location Rent - Balance</t>
  </si>
  <si>
    <t>Nxtwave Art Director Fees</t>
  </si>
  <si>
    <t>Medanta Art Director fees</t>
  </si>
  <si>
    <t>Nxtwave Juniors Fees</t>
  </si>
  <si>
    <t>Nxtwave Catering Balance</t>
  </si>
  <si>
    <t>Hala sync Sound</t>
  </si>
  <si>
    <t>Nxtwave eqipment Fees - Balance</t>
  </si>
  <si>
    <t>Simon Peter</t>
  </si>
  <si>
    <t>Nxtwave Makeup Fees</t>
  </si>
  <si>
    <t>Medanta AC Fees</t>
  </si>
  <si>
    <t>Medanta DOP fees</t>
  </si>
  <si>
    <t>Raising Solutions</t>
  </si>
  <si>
    <t>Tirumala Location Rent</t>
  </si>
  <si>
    <t>Team Expense reimbursement</t>
  </si>
  <si>
    <t>MMt</t>
  </si>
  <si>
    <t>Creative Mandali</t>
  </si>
  <si>
    <t>sheri sai shahsank</t>
  </si>
  <si>
    <t>Anand Vasam</t>
  </si>
  <si>
    <t>Shiva Gangadhar</t>
  </si>
  <si>
    <t xml:space="preserve">Zomato earnpro location rent </t>
  </si>
  <si>
    <t>Camlab Digital</t>
  </si>
  <si>
    <t>Ankush Chaudhary</t>
  </si>
  <si>
    <t>Flamingo Films</t>
  </si>
  <si>
    <t>M Branding</t>
  </si>
  <si>
    <t>Om travels</t>
  </si>
  <si>
    <t>Vinay Yadav</t>
  </si>
  <si>
    <t>Sridhar kakeleti</t>
  </si>
  <si>
    <t>divika ramchan</t>
  </si>
  <si>
    <t>Shreya Productions</t>
  </si>
  <si>
    <t>awdesh kumar</t>
  </si>
  <si>
    <t>Amir Khan</t>
  </si>
  <si>
    <t>Openai subs</t>
  </si>
  <si>
    <t>RR Systems</t>
  </si>
  <si>
    <t>saksham</t>
  </si>
  <si>
    <t>Redfox hotels</t>
  </si>
  <si>
    <t>Times Internet</t>
  </si>
  <si>
    <t>Hygen</t>
  </si>
  <si>
    <t>Openai chatgpt</t>
  </si>
  <si>
    <t>Actor Rathod</t>
  </si>
  <si>
    <t>Shankar Productions</t>
  </si>
  <si>
    <t>Divika ramchan</t>
  </si>
  <si>
    <t>Sai Shashank</t>
  </si>
  <si>
    <t>Realm Branding Pvt Ltd</t>
  </si>
  <si>
    <t>Dipita Sehgal</t>
  </si>
  <si>
    <t>Abhijeet Deshpande</t>
  </si>
  <si>
    <t>Runway Pro</t>
  </si>
  <si>
    <t>anusha</t>
  </si>
  <si>
    <t>Uthkarsha</t>
  </si>
  <si>
    <t>Sresta</t>
  </si>
  <si>
    <t>Aman Kumar Tiwari</t>
  </si>
  <si>
    <t>Sheik Junaid</t>
  </si>
  <si>
    <t>Jala Mahesh</t>
  </si>
  <si>
    <t>Bank Charges</t>
  </si>
  <si>
    <t>Arshaly Jose</t>
  </si>
  <si>
    <t>Rent</t>
  </si>
  <si>
    <t xml:space="preserve">Mahesh  </t>
  </si>
  <si>
    <t>Sheri sai shankar</t>
  </si>
  <si>
    <t>Sanjay Ratha</t>
  </si>
  <si>
    <t>Abhijith Sreenath</t>
  </si>
  <si>
    <t>Soud Shaik Bin Say</t>
  </si>
  <si>
    <t>Amit Arora</t>
  </si>
  <si>
    <t>Infinite Wing Studio</t>
  </si>
  <si>
    <t>Karthik Kumar</t>
  </si>
  <si>
    <t>Kanav Dng</t>
  </si>
  <si>
    <t>Chat GPT Subscription</t>
  </si>
  <si>
    <t>Harshun</t>
  </si>
  <si>
    <t>Premium Beat</t>
  </si>
  <si>
    <t>Satya</t>
  </si>
  <si>
    <t>Balistro  Consultancy</t>
  </si>
  <si>
    <t>Jaswanth</t>
  </si>
  <si>
    <t>Saravana</t>
  </si>
  <si>
    <t>Sana Y Mulla</t>
  </si>
  <si>
    <t>Jain Shrenik Kapoor</t>
  </si>
  <si>
    <t>Yourdosthealth</t>
  </si>
  <si>
    <t>Devdeep Gandhi</t>
  </si>
  <si>
    <t>Jayasri Rachakonda</t>
  </si>
  <si>
    <t>Go Daddy</t>
  </si>
  <si>
    <t>Sresta Roy</t>
  </si>
  <si>
    <t>Peter</t>
  </si>
  <si>
    <t>Aishwarya Holakkal</t>
  </si>
  <si>
    <t>Pedaparthi Vani</t>
  </si>
  <si>
    <t>Prachi Y Thaker</t>
  </si>
  <si>
    <t>Harshith Maheshwari</t>
  </si>
  <si>
    <t>Shadab Hasan</t>
  </si>
  <si>
    <t>Jenee International</t>
  </si>
  <si>
    <t>Divyanshu Tiwary</t>
  </si>
  <si>
    <t>Sunita Yadav</t>
  </si>
  <si>
    <t>Sanyukta Kumari</t>
  </si>
  <si>
    <t>A Siva Gangadhara</t>
  </si>
  <si>
    <t>Claude Subscription</t>
  </si>
  <si>
    <t>Adsert Web Solutions</t>
  </si>
  <si>
    <t>Gaddam Raghu</t>
  </si>
  <si>
    <t>T Bharath Reddy</t>
  </si>
  <si>
    <t>Dodda Manoj Kumar</t>
  </si>
  <si>
    <t>Mohit</t>
  </si>
  <si>
    <t>Vadla Sai Kalyan</t>
  </si>
  <si>
    <t>Kamsali Jagadeesh</t>
  </si>
  <si>
    <t>Dharani Sanjeev K</t>
  </si>
  <si>
    <t>Kodavati Surya</t>
  </si>
  <si>
    <t>Reliance Retail Ltd</t>
  </si>
  <si>
    <t>Talents 24</t>
  </si>
  <si>
    <t>Saju Rose</t>
  </si>
  <si>
    <t>Mahesh</t>
  </si>
  <si>
    <t>Rohit</t>
  </si>
  <si>
    <t>Divyanshu</t>
  </si>
  <si>
    <t>Sammeta Madhusudhan</t>
  </si>
  <si>
    <t>Shivapuram</t>
  </si>
  <si>
    <t>Varun Rajesh</t>
  </si>
  <si>
    <t>Mohdjamaluddin</t>
  </si>
  <si>
    <t>Sheshavapuri meghana</t>
  </si>
  <si>
    <t>Gonapa Harikrishna</t>
  </si>
  <si>
    <t xml:space="preserve">Jhansi  </t>
  </si>
  <si>
    <t>Radhe Bharat</t>
  </si>
  <si>
    <t>Hyderabad Education</t>
  </si>
  <si>
    <t>Vijaya Krishna</t>
  </si>
  <si>
    <t>Swapnil</t>
  </si>
  <si>
    <t>Devdeep Kundu</t>
  </si>
  <si>
    <t>Mohd Jamal Uddin</t>
  </si>
  <si>
    <t>Lakshmi Prasanna</t>
  </si>
  <si>
    <t>Dimension Digital</t>
  </si>
  <si>
    <t>Kannan</t>
  </si>
  <si>
    <t>Gaurav babbar</t>
  </si>
  <si>
    <t>Heygen Tech</t>
  </si>
  <si>
    <t>Lingual United</t>
  </si>
  <si>
    <t>Dista App</t>
  </si>
  <si>
    <t>Meghana Sheshava</t>
  </si>
  <si>
    <t>Open Ai Subscription</t>
  </si>
  <si>
    <t>Midjourney Subscription</t>
  </si>
  <si>
    <t>Vasant</t>
  </si>
  <si>
    <t>Gayatri</t>
  </si>
  <si>
    <t>Ishan</t>
  </si>
  <si>
    <t>Abhijeet Deshpan</t>
  </si>
  <si>
    <t>Siva Gangadhara</t>
  </si>
  <si>
    <t>Kota Madhusudhan</t>
  </si>
  <si>
    <t>Mahi</t>
  </si>
  <si>
    <t>Teja Narahari</t>
  </si>
  <si>
    <t>Imran Rammohan</t>
  </si>
  <si>
    <t>Miladeb</t>
  </si>
  <si>
    <t>AvikArunalok</t>
  </si>
  <si>
    <t>Prasad Film</t>
  </si>
  <si>
    <t>Panchakarla Naga</t>
  </si>
  <si>
    <t>Rama Rao</t>
  </si>
  <si>
    <t xml:space="preserve">Meghana   </t>
  </si>
  <si>
    <t xml:space="preserve">Sresta   </t>
  </si>
  <si>
    <t xml:space="preserve">Varun   </t>
  </si>
  <si>
    <t>Vidushi</t>
  </si>
  <si>
    <t>Prerana</t>
  </si>
  <si>
    <t>Tumu Sravanthi</t>
  </si>
  <si>
    <t>Kamaljeet Singh</t>
  </si>
  <si>
    <t>Sridhar</t>
  </si>
  <si>
    <t>Satyadeva</t>
  </si>
  <si>
    <t>Akhilesh</t>
  </si>
  <si>
    <t>Vidhushi</t>
  </si>
  <si>
    <t>Medanta Art-Jhansi</t>
  </si>
  <si>
    <t>Satyavrat Sharma</t>
  </si>
  <si>
    <t>Preetham</t>
  </si>
  <si>
    <t>Sai Kiran</t>
  </si>
  <si>
    <t>Business Promotions</t>
  </si>
  <si>
    <t>Shalini</t>
  </si>
  <si>
    <t>Acys Hotel</t>
  </si>
  <si>
    <t>Varun</t>
  </si>
  <si>
    <t>Abhijeet Srinath</t>
  </si>
  <si>
    <t>Kamal Chavan</t>
  </si>
  <si>
    <t>Pavan Kumar</t>
  </si>
  <si>
    <t>Abu Arshad</t>
  </si>
  <si>
    <t>Puranjani</t>
  </si>
  <si>
    <t>Sambireddy</t>
  </si>
  <si>
    <t>Shaurya</t>
  </si>
  <si>
    <t>Deepa Maheshwar</t>
  </si>
  <si>
    <t>Mahanth</t>
  </si>
  <si>
    <t>Archisa</t>
  </si>
  <si>
    <t>Sabavat Deepika</t>
  </si>
  <si>
    <t>Abhinav Singh</t>
  </si>
  <si>
    <t>Sai Raghavarao</t>
  </si>
  <si>
    <t>MNR Lights and Sounds</t>
  </si>
  <si>
    <t>Naresh</t>
  </si>
  <si>
    <t>Resonate Studio</t>
  </si>
  <si>
    <t>Siddhant Bhaskar</t>
  </si>
  <si>
    <t>Bajaru Mahesh</t>
  </si>
  <si>
    <t>Siddharth Kandhi</t>
  </si>
  <si>
    <t>Surya Kanth Patel</t>
  </si>
  <si>
    <t>Kamal Jeet Singh</t>
  </si>
  <si>
    <t>Shwetha Computer</t>
  </si>
  <si>
    <t>Avtar Media Solutions</t>
  </si>
  <si>
    <t>Jenne International</t>
  </si>
  <si>
    <t>Sheri Sai Sharan</t>
  </si>
  <si>
    <t>Sulochana Rathor</t>
  </si>
  <si>
    <t>New Found Studio</t>
  </si>
  <si>
    <t>Mohan Enterprise</t>
  </si>
  <si>
    <t>Jhansi</t>
  </si>
  <si>
    <t>Pratheek Mahesh</t>
  </si>
  <si>
    <t>Meghana Sheshavapura</t>
  </si>
  <si>
    <t>Stanley Enterprise</t>
  </si>
  <si>
    <t>Saju Jose</t>
  </si>
  <si>
    <t>Amazon Pay</t>
  </si>
  <si>
    <t>Meghana Rao</t>
  </si>
  <si>
    <t>Kanna</t>
  </si>
  <si>
    <t>Adobe</t>
  </si>
  <si>
    <t>Chaitanya Nimma</t>
  </si>
  <si>
    <t>Sheri Shashank</t>
  </si>
  <si>
    <t>Mid Journey</t>
  </si>
  <si>
    <t>Ayush Kumar</t>
  </si>
  <si>
    <t>Pradeep Vollala</t>
  </si>
  <si>
    <t>Lisa Singh</t>
  </si>
  <si>
    <t>Harshit Maheshwar</t>
  </si>
  <si>
    <t>Sky Lens Studio</t>
  </si>
  <si>
    <t>Prosun Saha</t>
  </si>
  <si>
    <t>Emcee Lakshmika</t>
  </si>
  <si>
    <t>Dia Srivastav</t>
  </si>
  <si>
    <t>Divya Gupta</t>
  </si>
  <si>
    <t>Archisha Sinha</t>
  </si>
  <si>
    <t>Omkar Cine Unit</t>
  </si>
  <si>
    <t>Speel Subscription</t>
  </si>
  <si>
    <t>Mahesh Bajaru</t>
  </si>
  <si>
    <t>Real M Branding Pvt Ltd</t>
  </si>
  <si>
    <t>Vikas Durgam</t>
  </si>
  <si>
    <t>Aartloka Studio</t>
  </si>
  <si>
    <t>Abhishek Kutum</t>
  </si>
  <si>
    <t>Mahesh Art</t>
  </si>
  <si>
    <t>Vaibhav</t>
  </si>
  <si>
    <t>Banyan Net Faqs Pvt Ltd</t>
  </si>
  <si>
    <t>Gaurav Babbar</t>
  </si>
  <si>
    <t>Sula Stays</t>
  </si>
  <si>
    <t>Kamleshwar</t>
  </si>
  <si>
    <t>Jagadish Verma</t>
  </si>
  <si>
    <t>Aisha Jain</t>
  </si>
  <si>
    <t>Ukusa Caf Chaitha</t>
  </si>
  <si>
    <t xml:space="preserve">Pavan   </t>
  </si>
  <si>
    <t>Gopinath Veena</t>
  </si>
  <si>
    <t>Joy Solomon</t>
  </si>
  <si>
    <t>Ali Balsania</t>
  </si>
  <si>
    <t>Meghana</t>
  </si>
  <si>
    <t>Rohith</t>
  </si>
  <si>
    <t>Envato Subscription</t>
  </si>
  <si>
    <t xml:space="preserve">Premika  </t>
  </si>
  <si>
    <t>Hitesh</t>
  </si>
  <si>
    <t>Sahil</t>
  </si>
  <si>
    <t>Rareform Digital Platform</t>
  </si>
  <si>
    <t>Saniya Balaji</t>
  </si>
  <si>
    <t>IP India Marketing</t>
  </si>
  <si>
    <t>DGB Solutions</t>
  </si>
  <si>
    <t>Meghana Patra</t>
  </si>
  <si>
    <t>Koncham Kode Pvt Ltd</t>
  </si>
  <si>
    <t>Sanjay Singh</t>
  </si>
  <si>
    <t>Krish Rijhwani</t>
  </si>
  <si>
    <t>Shreyans</t>
  </si>
  <si>
    <t>Sairam</t>
  </si>
  <si>
    <t>New Found Studio Pvt Ltd</t>
  </si>
  <si>
    <t>Guthikonda Karthik</t>
  </si>
  <si>
    <t>Kalyan</t>
  </si>
  <si>
    <t>Pranav Rejimon</t>
  </si>
  <si>
    <t xml:space="preserve">Abhishek  </t>
  </si>
  <si>
    <t>Vaishnavi</t>
  </si>
  <si>
    <t>Vistavogue Productions</t>
  </si>
  <si>
    <t>Amogh</t>
  </si>
  <si>
    <t>AvikArunlokBhat</t>
  </si>
  <si>
    <t>Bhupathi Raju</t>
  </si>
  <si>
    <t>Sanapala Tarun</t>
  </si>
  <si>
    <t>Mahima Rachel Vinay</t>
  </si>
  <si>
    <t>Karthikeya</t>
  </si>
  <si>
    <t>Imagine Art</t>
  </si>
  <si>
    <t>Nextgen Community</t>
  </si>
  <si>
    <t>Eppapula sai</t>
  </si>
  <si>
    <t>Higgsfield</t>
  </si>
  <si>
    <t>Bangaru Raju</t>
  </si>
  <si>
    <t>Shafatkhan</t>
  </si>
  <si>
    <t>Datta Prasad</t>
  </si>
  <si>
    <t>Riya</t>
  </si>
  <si>
    <t>Akash Brahmbhatt</t>
  </si>
  <si>
    <t>Vanishree Sahu</t>
  </si>
  <si>
    <t>Harsha Vardhan S</t>
  </si>
  <si>
    <t>Shaurya Sadanand</t>
  </si>
  <si>
    <t>Anjani Shritha</t>
  </si>
  <si>
    <t xml:space="preserve">Pranav </t>
  </si>
  <si>
    <t>Achyuth Garapati</t>
  </si>
  <si>
    <t>clickup Subscription</t>
  </si>
  <si>
    <t>Aarna</t>
  </si>
  <si>
    <t>Kunal</t>
  </si>
  <si>
    <t>H Srinivas</t>
  </si>
  <si>
    <t>Tipoji Divya</t>
  </si>
  <si>
    <t>Natrajan Pavan Kumar</t>
  </si>
  <si>
    <t>Black Box Studio</t>
  </si>
  <si>
    <t>Aashish Gelal</t>
  </si>
  <si>
    <t>Sheshavapuri Meghana</t>
  </si>
  <si>
    <t>Sreya</t>
  </si>
  <si>
    <t>B Naresh</t>
  </si>
  <si>
    <t>Cheedu Srinija</t>
  </si>
  <si>
    <t>Mitil</t>
  </si>
  <si>
    <t>S Brunda Rao</t>
  </si>
  <si>
    <t>Aishwarya</t>
  </si>
  <si>
    <t>Hotel Sahil Pvt Ltd</t>
  </si>
  <si>
    <t>Google Play</t>
  </si>
  <si>
    <t>Rakesh</t>
  </si>
  <si>
    <t>Lovable</t>
  </si>
  <si>
    <t>Soul Spirits Pvt Ltd</t>
  </si>
  <si>
    <t>Bangaraju</t>
  </si>
  <si>
    <t>Tejender Palsing</t>
  </si>
  <si>
    <t>Raghavendra</t>
  </si>
  <si>
    <t>Vishwateja Pothu</t>
  </si>
  <si>
    <t>Gayatri Chaganti</t>
  </si>
  <si>
    <t>Aditi Tiwari</t>
  </si>
  <si>
    <t>Charan</t>
  </si>
  <si>
    <t>Praveen</t>
  </si>
  <si>
    <t>Saahi</t>
  </si>
  <si>
    <t>G Nagendra Kumar</t>
  </si>
  <si>
    <t>Rini Chakraborty</t>
  </si>
  <si>
    <t>Naga Lakshmi Sanh</t>
  </si>
  <si>
    <t>Danny Sheldonkar</t>
  </si>
  <si>
    <t>Stanley Enterprises</t>
  </si>
  <si>
    <t>Yourdost Health Studio</t>
  </si>
  <si>
    <t>S Sai Teja</t>
  </si>
  <si>
    <t>Y Satish Kumar</t>
  </si>
  <si>
    <t>Aman</t>
  </si>
  <si>
    <t>Vedamsa Hospital</t>
  </si>
  <si>
    <t>Gravityzip Sport</t>
  </si>
  <si>
    <t>Claude AI</t>
  </si>
  <si>
    <t>Anas</t>
  </si>
  <si>
    <t>Ashish Pandey</t>
  </si>
  <si>
    <t>Facebook</t>
  </si>
  <si>
    <t>Vanisheree</t>
  </si>
  <si>
    <t>Chirag</t>
  </si>
  <si>
    <t>Harsh</t>
  </si>
  <si>
    <t>Paartha Sachdeva</t>
  </si>
  <si>
    <t>Keerthi</t>
  </si>
  <si>
    <t>Truelight</t>
  </si>
  <si>
    <t>Navya Jain</t>
  </si>
  <si>
    <t>Adiya Kumar Singh</t>
  </si>
  <si>
    <t>Shaik Latheef</t>
  </si>
  <si>
    <t>Surya Balaji</t>
  </si>
  <si>
    <t>Kanak Awasthi</t>
  </si>
  <si>
    <t>ANS Enterprises</t>
  </si>
  <si>
    <t>SS Rentals</t>
  </si>
  <si>
    <t>Dhanush</t>
  </si>
  <si>
    <t>DIvyanshu</t>
  </si>
  <si>
    <t>Abhinaya</t>
  </si>
  <si>
    <t>J Lalitha Kumar</t>
  </si>
  <si>
    <t>Linqual</t>
  </si>
  <si>
    <t>Sridhar Kakileti</t>
  </si>
  <si>
    <t>Sandeep</t>
  </si>
  <si>
    <t>Sairam Food and Beverages</t>
  </si>
  <si>
    <t>Dheeresh</t>
  </si>
  <si>
    <t>V Production Studio</t>
  </si>
  <si>
    <t>Conquer Technologies</t>
  </si>
  <si>
    <t>Lemsqzy Ch</t>
  </si>
  <si>
    <t>Fal Feature</t>
  </si>
  <si>
    <t>Bandari Bindu</t>
  </si>
  <si>
    <t>N Dora Babu</t>
  </si>
  <si>
    <t>V Rammohan Rao</t>
  </si>
  <si>
    <t>M Rambabu</t>
  </si>
  <si>
    <t>B Devi Pattala naidu</t>
  </si>
  <si>
    <t>MV Seshaiah</t>
  </si>
  <si>
    <t>K Srinivasa Rao</t>
  </si>
  <si>
    <t>Villuri Raja Kumar</t>
  </si>
  <si>
    <t>Abhishek Boddepalli</t>
  </si>
  <si>
    <t>Runway Films LLP</t>
  </si>
  <si>
    <t>Avasantha</t>
  </si>
  <si>
    <t>Praneeth Johar</t>
  </si>
  <si>
    <t>RFX Visual Effect</t>
  </si>
  <si>
    <t>Abhijith Sreenat</t>
  </si>
  <si>
    <t>Srini Suri Appala</t>
  </si>
  <si>
    <t>Taki Productions</t>
  </si>
  <si>
    <t>Kodavati Surya Productions</t>
  </si>
  <si>
    <t>P Srinivasa rao</t>
  </si>
  <si>
    <t>Cellar Door Productions</t>
  </si>
  <si>
    <t>Aananya Kalra</t>
  </si>
  <si>
    <t>Ujjwal Agarwal</t>
  </si>
  <si>
    <t>Goodwill Digital</t>
  </si>
  <si>
    <t>Shafiuddin</t>
  </si>
  <si>
    <t>Ashish Kumar Gaut</t>
  </si>
  <si>
    <t>K Rambabu Sound Equipment</t>
  </si>
  <si>
    <t>LightNLight Delhi</t>
  </si>
  <si>
    <t>Clickup</t>
  </si>
  <si>
    <t>N Mani Ranjith</t>
  </si>
  <si>
    <t>Premika</t>
  </si>
  <si>
    <t>Vaddadi Nagalakshmi</t>
  </si>
  <si>
    <t>Mahima Rachel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</si>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</sst>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_ ;_ * \-#,##0_ ;_ * &quot;-&quot;??_ ;_ @_ "/>
    <numFmt numFmtId="165" formatCode="mmm yyyy"/>
    <numFmt numFmtId="166" formatCode="dd/mm/yyyy"/>
    <numFmt numFmtId="167" formatCode="d/m/yyyy"/>
    <numFmt numFmtId="168" formatCode="dd/mm/yy"/>
    <numFmt numFmtId="169" formatCode="dd-mm-yyyy"/>
  </numFmts>
  <fonts count="15">
    <font>
      <sz val="10.0"/>
      <color rgb="FF000000"/>
      <name val="Arial"/>
      <scheme val="minor"/>
    </font>
    <font>
      <b/>
      <color rgb="FF000000"/>
      <name val="Arial"/>
    </font>
    <font/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12.0"/>
      <color rgb="FF434343"/>
      <name val="Calibri"/>
    </font>
    <font>
      <b/>
      <sz val="12.0"/>
      <color theme="1"/>
      <name val="Arial"/>
      <scheme val="minor"/>
    </font>
    <font>
      <u/>
      <sz val="12.0"/>
      <color rgb="FF0000FF"/>
      <name val="Calibri"/>
    </font>
    <font>
      <u/>
      <color rgb="FF0000FF"/>
      <name val="Roboto"/>
    </font>
    <font>
      <color rgb="FF434343"/>
      <name val="Roboto"/>
    </font>
    <font>
      <b/>
      <color rgb="FF434343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readingOrder="0" vertical="bottom"/>
    </xf>
    <xf borderId="0" fillId="3" fontId="5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right" vertical="bottom"/>
    </xf>
    <xf borderId="8" fillId="0" fontId="3" numFmtId="164" xfId="0" applyAlignment="1" applyBorder="1" applyFont="1" applyNumberFormat="1">
      <alignment horizontal="right" vertical="bottom"/>
    </xf>
    <xf borderId="9" fillId="0" fontId="6" numFmtId="0" xfId="0" applyAlignment="1" applyBorder="1" applyFont="1">
      <alignment horizontal="center" readingOrder="0" shrinkToFit="0" vertical="bottom" wrapText="0"/>
    </xf>
    <xf borderId="10" fillId="0" fontId="3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readingOrder="0"/>
    </xf>
    <xf borderId="9" fillId="0" fontId="6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right" vertical="bottom"/>
    </xf>
    <xf borderId="9" fillId="0" fontId="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7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readingOrder="0" shrinkToFit="0" vertical="bottom" wrapText="0"/>
    </xf>
    <xf borderId="8" fillId="0" fontId="3" numFmtId="164" xfId="0" applyAlignment="1" applyBorder="1" applyFont="1" applyNumberFormat="1">
      <alignment vertical="bottom"/>
    </xf>
    <xf borderId="9" fillId="0" fontId="6" numFmtId="0" xfId="0" applyAlignment="1" applyBorder="1" applyFont="1">
      <alignment horizontal="center" readingOrder="0" shrinkToFit="0" vertical="bottom" wrapText="0"/>
    </xf>
    <xf borderId="10" fillId="0" fontId="3" numFmtId="164" xfId="0" applyAlignment="1" applyBorder="1" applyFont="1" applyNumberFormat="1">
      <alignment vertical="bottom"/>
    </xf>
    <xf borderId="11" fillId="2" fontId="5" numFmtId="0" xfId="0" applyAlignment="1" applyBorder="1" applyFill="1" applyFont="1">
      <alignment readingOrder="0"/>
    </xf>
    <xf borderId="12" fillId="2" fontId="5" numFmtId="0" xfId="0" applyAlignment="1" applyBorder="1" applyFill="1" applyFont="1">
      <alignment horizontal="center" readingOrder="0"/>
    </xf>
    <xf borderId="13" fillId="2" fontId="5" numFmtId="0" xfId="0" applyAlignment="1" applyBorder="1" applyFill="1" applyFont="1">
      <alignment horizontal="center" readingOrder="0"/>
    </xf>
    <xf borderId="14" fillId="2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9" fillId="0" fontId="6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15" fillId="0" fontId="7" numFmtId="0" xfId="0" applyAlignment="1" applyBorder="1" applyFont="1">
      <alignment readingOrder="0" shrinkToFit="0" vertical="center" wrapText="0"/>
    </xf>
    <xf borderId="15" fillId="3" fontId="8" numFmtId="0" xfId="0" applyAlignment="1" applyBorder="1" applyFill="1" applyFont="1">
      <alignment readingOrder="0" shrinkToFit="0" vertical="center" wrapText="0"/>
    </xf>
    <xf borderId="0" fillId="0" fontId="3" numFmtId="165" xfId="0" applyAlignment="1" applyFont="1" applyNumberFormat="1">
      <alignment horizontal="center" vertical="bottom"/>
    </xf>
    <xf borderId="15" fillId="0" fontId="7" numFmtId="166" xfId="0" applyAlignment="1" applyBorder="1" applyFont="1" applyNumberFormat="1">
      <alignment readingOrder="0" shrinkToFit="0" vertical="center" wrapText="0"/>
    </xf>
    <xf borderId="15" fillId="3" fontId="8" numFmtId="166" xfId="0" applyAlignment="1" applyBorder="1" applyFill="1" applyFont="1" applyNumberFormat="1">
      <alignment readingOrder="0" shrinkToFit="0" vertical="center" wrapText="0"/>
    </xf>
    <xf borderId="16" fillId="4" fontId="9" numFmtId="0" xfId="0" applyAlignment="1" applyBorder="1" applyFill="1" applyFont="1">
      <alignment readingOrder="0" shrinkToFit="0" vertical="center" wrapText="0"/>
    </xf>
    <xf borderId="15" fillId="0" fontId="7" numFmtId="1" xfId="0" applyAlignment="1" applyBorder="1" applyFont="1" applyNumberFormat="1">
      <alignment readingOrder="0" shrinkToFit="0" vertical="center" wrapText="0"/>
    </xf>
    <xf borderId="17" fillId="0" fontId="7" numFmtId="166" xfId="0" applyAlignment="1" applyBorder="1" applyFont="1" applyNumberFormat="1">
      <alignment readingOrder="0"/>
    </xf>
    <xf borderId="16" fillId="0" fontId="7" numFmtId="0" xfId="0" applyAlignment="1" applyBorder="1" applyFont="1">
      <alignment readingOrder="0"/>
    </xf>
    <xf borderId="18" fillId="0" fontId="7" numFmtId="166" xfId="0" applyAlignment="1" applyBorder="1" applyFont="1" applyNumberFormat="1">
      <alignment readingOrder="0"/>
    </xf>
    <xf borderId="19" fillId="0" fontId="7" numFmtId="0" xfId="0" applyAlignment="1" applyBorder="1" applyFont="1">
      <alignment readingOrder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readingOrder="0" shrinkToFit="0" vertical="center" wrapText="0"/>
    </xf>
    <xf borderId="0" fillId="3" fontId="8" numFmtId="0" xfId="0" applyAlignment="1" applyFill="1" applyFont="1">
      <alignment readingOrder="0" shrinkToFit="0" vertical="center" wrapText="0"/>
    </xf>
    <xf borderId="0" fillId="0" fontId="3" numFmtId="166" xfId="0" applyAlignment="1" applyFont="1" applyNumberFormat="1">
      <alignment horizontal="center" readingOrder="0" vertical="bottom"/>
    </xf>
    <xf borderId="0" fillId="0" fontId="7" numFmtId="0" xfId="0" applyAlignment="1" applyFont="1">
      <alignment horizontal="left" readingOrder="0"/>
    </xf>
    <xf borderId="16" fillId="0" fontId="7" numFmtId="0" xfId="0" applyAlignment="1" applyBorder="1" applyFont="1">
      <alignment readingOrder="0" shrinkToFit="0" vertical="center" wrapText="0"/>
    </xf>
    <xf borderId="16" fillId="0" fontId="3" numFmtId="164" xfId="0" applyAlignment="1" applyBorder="1" applyFont="1" applyNumberFormat="1">
      <alignment readingOrder="0" vertical="bottom"/>
    </xf>
    <xf borderId="0" fillId="0" fontId="5" numFmtId="0" xfId="0" applyAlignment="1" applyFont="1">
      <alignment horizontal="right"/>
    </xf>
    <xf borderId="0" fillId="0" fontId="3" numFmtId="1" xfId="0" applyAlignment="1" applyFont="1" applyNumberFormat="1">
      <alignment horizontal="right" readingOrder="0" vertical="bottom"/>
    </xf>
    <xf borderId="16" fillId="4" fontId="9" numFmtId="49" xfId="0" applyAlignment="1" applyBorder="1" applyFill="1" applyFont="1" applyNumberFormat="1">
      <alignment readingOrder="0" shrinkToFit="0" vertical="center" wrapText="0"/>
    </xf>
    <xf borderId="0" fillId="0" fontId="4" numFmtId="1" xfId="0" applyAlignment="1" applyFont="1" applyNumberFormat="1">
      <alignment horizontal="right" vertical="bottom"/>
    </xf>
    <xf borderId="16" fillId="0" fontId="7" numFmtId="1" xfId="0" applyAlignment="1" applyBorder="1" applyFont="1" applyNumberFormat="1">
      <alignment readingOrder="0" shrinkToFit="0" vertical="center" wrapText="0"/>
    </xf>
    <xf borderId="16" fillId="0" fontId="7" numFmtId="0" xfId="0" applyAlignment="1" applyBorder="1" applyFont="1">
      <alignment horizontal="right" readingOrder="0"/>
    </xf>
    <xf borderId="19" fillId="0" fontId="7" numFmtId="0" xfId="0" applyAlignment="1" applyBorder="1" applyFont="1">
      <alignment horizontal="right" readingOrder="0"/>
    </xf>
    <xf borderId="16" fillId="3" fontId="8" numFmtId="0" xfId="0" applyAlignment="1" applyBorder="1" applyFill="1" applyFont="1">
      <alignment readingOrder="0" shrinkToFit="0" vertical="center" wrapText="0"/>
    </xf>
    <xf borderId="16" fillId="0" fontId="7" numFmtId="1" xfId="0" applyAlignment="1" applyBorder="1" applyFont="1" applyNumberFormat="1">
      <alignment readingOrder="0"/>
    </xf>
    <xf borderId="18" fillId="0" fontId="7" numFmtId="1" xfId="0" applyAlignment="1" applyBorder="1" applyFont="1" applyNumberFormat="1">
      <alignment readingOrder="0"/>
    </xf>
    <xf borderId="19" fillId="0" fontId="7" numFmtId="0" xfId="0" applyBorder="1" applyFont="1"/>
    <xf borderId="0" fillId="0" fontId="7" numFmtId="3" xfId="0" applyAlignment="1" applyFont="1" applyNumberFormat="1">
      <alignment horizontal="right" readingOrder="0"/>
    </xf>
    <xf borderId="18" fillId="0" fontId="7" numFmtId="0" xfId="0" applyBorder="1" applyFont="1"/>
    <xf borderId="16" fillId="3" fontId="8" numFmtId="166" xfId="0" applyAlignment="1" applyBorder="1" applyFill="1" applyFont="1" applyNumberFormat="1">
      <alignment readingOrder="0" shrinkToFit="0" vertical="center" wrapText="0"/>
    </xf>
    <xf borderId="0" fillId="0" fontId="5" numFmtId="0" xfId="0" applyFont="1"/>
    <xf borderId="17" fillId="0" fontId="7" numFmtId="0" xfId="0" applyBorder="1" applyFont="1"/>
    <xf borderId="16" fillId="0" fontId="7" numFmtId="0" xfId="0" applyBorder="1" applyFont="1"/>
    <xf borderId="19" fillId="0" fontId="3" numFmtId="164" xfId="0" applyAlignment="1" applyBorder="1" applyFont="1" applyNumberFormat="1">
      <alignment vertical="bottom"/>
    </xf>
    <xf borderId="20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16" fillId="0" fontId="7" numFmtId="166" xfId="0" applyAlignment="1" applyBorder="1" applyFont="1" applyNumberFormat="1">
      <alignment readingOrder="0" shrinkToFit="0" vertical="center" wrapText="0"/>
    </xf>
    <xf borderId="23" fillId="0" fontId="7" numFmtId="0" xfId="0" applyBorder="1" applyFont="1"/>
    <xf borderId="9" fillId="0" fontId="5" numFmtId="0" xfId="0" applyAlignment="1" applyBorder="1" applyFont="1">
      <alignment readingOrder="0"/>
    </xf>
    <xf borderId="9" fillId="0" fontId="6" numFmtId="0" xfId="0" applyBorder="1" applyFont="1"/>
    <xf borderId="9" fillId="0" fontId="7" numFmtId="0" xfId="0" applyBorder="1" applyFont="1"/>
    <xf borderId="16" fillId="3" fontId="8" numFmtId="0" xfId="0" applyAlignment="1" applyBorder="1" applyFill="1" applyFont="1">
      <alignment shrinkToFit="0" vertical="center" wrapText="0"/>
    </xf>
    <xf borderId="7" fillId="0" fontId="4" numFmtId="0" xfId="0" applyAlignment="1" applyBorder="1" applyFont="1">
      <alignment readingOrder="0" vertical="bottom"/>
    </xf>
    <xf borderId="10" fillId="0" fontId="3" numFmtId="164" xfId="0" applyAlignment="1" applyBorder="1" applyFont="1" applyNumberFormat="1">
      <alignment readingOrder="0" vertical="bottom"/>
    </xf>
    <xf borderId="16" fillId="3" fontId="7" numFmtId="1" xfId="0" applyAlignment="1" applyBorder="1" applyFill="1" applyFont="1" applyNumberFormat="1">
      <alignment readingOrder="0"/>
    </xf>
    <xf borderId="16" fillId="0" fontId="7" numFmtId="1" xfId="0" applyBorder="1" applyFont="1" applyNumberFormat="1"/>
    <xf borderId="24" fillId="0" fontId="3" numFmtId="0" xfId="0" applyAlignment="1" applyBorder="1" applyFont="1">
      <alignment readingOrder="0" vertical="bottom"/>
    </xf>
    <xf borderId="25" fillId="0" fontId="3" numFmtId="164" xfId="0" applyAlignment="1" applyBorder="1" applyFont="1" applyNumberFormat="1">
      <alignment vertical="bottom"/>
    </xf>
    <xf borderId="26" fillId="0" fontId="3" numFmtId="164" xfId="0" applyAlignment="1" applyBorder="1" applyFont="1" applyNumberFormat="1">
      <alignment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bottom"/>
    </xf>
    <xf borderId="9" fillId="0" fontId="4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shrinkToFit="0" vertical="center" wrapText="0"/>
    </xf>
    <xf borderId="27" fillId="0" fontId="4" numFmtId="0" xfId="0" applyAlignment="1" applyBorder="1" applyFont="1">
      <alignment readingOrder="0" vertical="bottom"/>
    </xf>
    <xf borderId="15" fillId="0" fontId="3" numFmtId="164" xfId="0" applyAlignment="1" applyBorder="1" applyFont="1" applyNumberFormat="1">
      <alignment horizontal="right" readingOrder="0" vertical="bottom"/>
    </xf>
    <xf borderId="10" fillId="0" fontId="3" numFmtId="164" xfId="0" applyAlignment="1" applyBorder="1" applyFont="1" applyNumberFormat="1">
      <alignment horizontal="right" readingOrder="0" vertical="bottom"/>
    </xf>
    <xf borderId="27" fillId="0" fontId="3" numFmtId="0" xfId="0" applyAlignment="1" applyBorder="1" applyFont="1">
      <alignment readingOrder="0" vertical="bottom"/>
    </xf>
    <xf borderId="16" fillId="0" fontId="3" numFmtId="164" xfId="0" applyAlignment="1" applyBorder="1" applyFont="1" applyNumberFormat="1">
      <alignment horizontal="right" readingOrder="0" vertical="bottom"/>
    </xf>
    <xf borderId="17" fillId="0" fontId="7" numFmtId="0" xfId="0" applyAlignment="1" applyBorder="1" applyFont="1">
      <alignment readingOrder="0"/>
    </xf>
    <xf borderId="10" fillId="0" fontId="4" numFmtId="164" xfId="0" applyAlignment="1" applyBorder="1" applyFont="1" applyNumberFormat="1">
      <alignment horizontal="right" readingOrder="0" vertical="bottom"/>
    </xf>
    <xf borderId="28" fillId="0" fontId="5" numFmtId="0" xfId="0" applyAlignment="1" applyBorder="1" applyFont="1">
      <alignment readingOrder="0"/>
    </xf>
    <xf borderId="29" fillId="0" fontId="5" numFmtId="0" xfId="0" applyBorder="1" applyFont="1"/>
    <xf borderId="30" fillId="0" fontId="5" numFmtId="0" xfId="0" applyBorder="1" applyFont="1"/>
    <xf borderId="0" fillId="0" fontId="7" numFmtId="1" xfId="0" applyFont="1" applyNumberFormat="1"/>
    <xf borderId="16" fillId="5" fontId="9" numFmtId="49" xfId="0" applyAlignment="1" applyBorder="1" applyFill="1" applyFont="1" applyNumberFormat="1">
      <alignment readingOrder="0" shrinkToFit="0" vertical="center" wrapText="0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16" fillId="6" fontId="9" numFmtId="49" xfId="0" applyAlignment="1" applyBorder="1" applyFill="1" applyFont="1" applyNumberFormat="1">
      <alignment readingOrder="0" shrinkToFit="0" vertical="center" wrapText="0"/>
    </xf>
    <xf borderId="16" fillId="7" fontId="9" numFmtId="49" xfId="0" applyAlignment="1" applyBorder="1" applyFill="1" applyFont="1" applyNumberFormat="1">
      <alignment readingOrder="0" shrinkToFit="0" vertical="center" wrapText="0"/>
    </xf>
    <xf borderId="16" fillId="3" fontId="9" numFmtId="49" xfId="0" applyAlignment="1" applyBorder="1" applyFill="1" applyFont="1" applyNumberFormat="1">
      <alignment shrinkToFit="0" vertical="center" wrapText="0"/>
    </xf>
    <xf borderId="0" fillId="3" fontId="8" numFmtId="0" xfId="0" applyAlignment="1" applyFill="1" applyFont="1">
      <alignment shrinkToFit="0" vertical="center" wrapText="0"/>
    </xf>
    <xf borderId="0" fillId="0" fontId="7" numFmtId="164" xfId="0" applyAlignment="1" applyFont="1" applyNumberFormat="1">
      <alignment horizontal="right" readingOrder="0"/>
    </xf>
    <xf borderId="0" fillId="0" fontId="7" numFmtId="0" xfId="0" applyFont="1"/>
    <xf borderId="0" fillId="0" fontId="7" numFmtId="1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 readingOrder="0"/>
    </xf>
    <xf borderId="0" fillId="0" fontId="7" numFmtId="2" xfId="0" applyFont="1" applyNumberFormat="1"/>
    <xf borderId="0" fillId="0" fontId="7" numFmtId="10" xfId="0" applyFont="1" applyNumberFormat="1"/>
    <xf borderId="0" fillId="0" fontId="10" numFmtId="0" xfId="0" applyAlignment="1" applyFont="1">
      <alignment horizontal="center" readingOrder="0"/>
    </xf>
    <xf borderId="0" fillId="0" fontId="5" numFmtId="1" xfId="0" applyFont="1" applyNumberFormat="1"/>
    <xf borderId="0" fillId="0" fontId="7" numFmtId="10" xfId="0" applyAlignment="1" applyFont="1" applyNumberFormat="1">
      <alignment horizontal="right" readingOrder="0"/>
    </xf>
    <xf borderId="16" fillId="3" fontId="9" numFmtId="49" xfId="0" applyAlignment="1" applyBorder="1" applyFill="1" applyFont="1" applyNumberFormat="1">
      <alignment readingOrder="0" shrinkToFit="0" vertical="center" wrapText="0"/>
    </xf>
    <xf borderId="0" fillId="0" fontId="7" numFmtId="9" xfId="0" applyAlignment="1" applyFont="1" applyNumberFormat="1">
      <alignment horizontal="right" readingOrder="0"/>
    </xf>
    <xf borderId="16" fillId="8" fontId="9" numFmtId="49" xfId="0" applyAlignment="1" applyBorder="1" applyFill="1" applyFont="1" applyNumberFormat="1">
      <alignment readingOrder="0" shrinkToFit="0" vertical="center" wrapText="0"/>
    </xf>
    <xf borderId="16" fillId="9" fontId="9" numFmtId="49" xfId="0" applyAlignment="1" applyBorder="1" applyFill="1" applyFont="1" applyNumberFormat="1">
      <alignment readingOrder="0" shrinkToFit="0" vertical="center" wrapText="0"/>
    </xf>
    <xf borderId="0" fillId="0" fontId="7" numFmtId="0" xfId="0" applyAlignment="1" applyFont="1">
      <alignment horizontal="center"/>
    </xf>
    <xf borderId="16" fillId="0" fontId="7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16" fillId="0" fontId="7" numFmtId="0" xfId="0" applyAlignment="1" applyBorder="1" applyFont="1">
      <alignment horizontal="left" readingOrder="0" shrinkToFit="0" vertical="center" wrapText="0"/>
    </xf>
    <xf borderId="16" fillId="0" fontId="7" numFmtId="0" xfId="0" applyAlignment="1" applyBorder="1" applyFont="1">
      <alignment horizontal="center" readingOrder="0" shrinkToFit="0" vertical="center" wrapText="0"/>
    </xf>
    <xf borderId="16" fillId="10" fontId="7" numFmtId="0" xfId="0" applyAlignment="1" applyBorder="1" applyFill="1" applyFont="1">
      <alignment horizontal="left" readingOrder="0" shrinkToFit="0" vertical="center" wrapText="0"/>
    </xf>
    <xf borderId="16" fillId="11" fontId="9" numFmtId="49" xfId="0" applyAlignment="1" applyBorder="1" applyFill="1" applyFont="1" applyNumberFormat="1">
      <alignment readingOrder="0" shrinkToFit="0" vertical="center" wrapText="0"/>
    </xf>
    <xf borderId="16" fillId="10" fontId="7" numFmtId="49" xfId="0" applyAlignment="1" applyBorder="1" applyFill="1" applyFont="1" applyNumberFormat="1">
      <alignment horizontal="center" readingOrder="0" shrinkToFit="0" vertical="center" wrapText="0"/>
    </xf>
    <xf borderId="16" fillId="12" fontId="7" numFmtId="49" xfId="0" applyAlignment="1" applyBorder="1" applyFill="1" applyFont="1" applyNumberFormat="1">
      <alignment horizontal="left" readingOrder="0" shrinkToFit="0" vertical="center" wrapText="0"/>
    </xf>
    <xf borderId="16" fillId="12" fontId="7" numFmtId="0" xfId="0" applyAlignment="1" applyBorder="1" applyFill="1" applyFont="1">
      <alignment horizontal="center" readingOrder="0" shrinkToFit="0" vertical="center" wrapText="0"/>
    </xf>
    <xf borderId="16" fillId="0" fontId="8" numFmtId="0" xfId="0" applyAlignment="1" applyBorder="1" applyFont="1">
      <alignment readingOrder="0" shrinkToFit="0" vertical="center" wrapText="0"/>
    </xf>
    <xf borderId="16" fillId="13" fontId="9" numFmtId="49" xfId="0" applyAlignment="1" applyBorder="1" applyFill="1" applyFont="1" applyNumberFormat="1">
      <alignment readingOrder="0" shrinkToFit="0" vertical="center" wrapText="0"/>
    </xf>
    <xf borderId="16" fillId="0" fontId="8" numFmtId="0" xfId="0" applyAlignment="1" applyBorder="1" applyFont="1">
      <alignment horizontal="center" readingOrder="0" shrinkToFit="0" vertical="center" wrapText="0"/>
    </xf>
    <xf borderId="0" fillId="3" fontId="8" numFmtId="0" xfId="0" applyAlignment="1" applyFill="1" applyFont="1">
      <alignment readingOrder="0"/>
    </xf>
    <xf borderId="16" fillId="14" fontId="9" numFmtId="49" xfId="0" applyAlignment="1" applyBorder="1" applyFill="1" applyFont="1" applyNumberFormat="1">
      <alignment readingOrder="0" shrinkToFit="0" vertical="center" wrapText="0"/>
    </xf>
    <xf borderId="16" fillId="0" fontId="8" numFmtId="0" xfId="0" applyAlignment="1" applyBorder="1" applyFont="1">
      <alignment horizontal="center" readingOrder="0" shrinkToFit="0" vertical="bottom" wrapText="0"/>
    </xf>
    <xf borderId="16" fillId="15" fontId="9" numFmtId="49" xfId="0" applyAlignment="1" applyBorder="1" applyFill="1" applyFont="1" applyNumberFormat="1">
      <alignment readingOrder="0" shrinkToFit="0" vertical="center" wrapText="0"/>
    </xf>
    <xf borderId="16" fillId="3" fontId="8" numFmtId="0" xfId="0" applyAlignment="1" applyBorder="1" applyFill="1" applyFont="1">
      <alignment horizontal="center" readingOrder="0" shrinkToFit="0" vertical="center" wrapText="0"/>
    </xf>
    <xf borderId="16" fillId="3" fontId="8" numFmtId="0" xfId="0" applyAlignment="1" applyBorder="1" applyFill="1" applyFont="1">
      <alignment readingOrder="0" shrinkToFit="0" vertical="bottom" wrapText="0"/>
    </xf>
    <xf borderId="16" fillId="0" fontId="8" numFmtId="0" xfId="0" applyAlignment="1" applyBorder="1" applyFont="1">
      <alignment readingOrder="0"/>
    </xf>
    <xf borderId="16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readingOrder="0" vertical="bottom"/>
    </xf>
    <xf borderId="16" fillId="3" fontId="8" numFmtId="0" xfId="0" applyAlignment="1" applyBorder="1" applyFill="1" applyFont="1">
      <alignment readingOrder="0"/>
    </xf>
    <xf borderId="16" fillId="3" fontId="8" numFmtId="0" xfId="0" applyAlignment="1" applyBorder="1" applyFill="1" applyFont="1">
      <alignment horizontal="center" readingOrder="0"/>
    </xf>
    <xf borderId="16" fillId="0" fontId="3" numFmtId="0" xfId="0" applyAlignment="1" applyBorder="1" applyFont="1">
      <alignment vertical="bottom"/>
    </xf>
    <xf borderId="16" fillId="0" fontId="3" numFmtId="0" xfId="0" applyAlignment="1" applyBorder="1" applyFont="1">
      <alignment horizontal="center" readingOrder="0" vertical="bottom"/>
    </xf>
    <xf borderId="16" fillId="0" fontId="3" numFmtId="0" xfId="0" applyAlignment="1" applyBorder="1" applyFont="1">
      <alignment readingOrder="0" vertical="bottom"/>
    </xf>
    <xf borderId="16" fillId="0" fontId="4" numFmtId="0" xfId="0" applyAlignment="1" applyBorder="1" applyFon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ill="1" applyFont="1">
      <alignment horizontal="center" vertical="bottom"/>
    </xf>
    <xf borderId="0" fillId="3" fontId="8" numFmtId="0" xfId="0" applyAlignment="1" applyFill="1" applyFont="1">
      <alignment horizontal="center" readingOrder="0"/>
    </xf>
    <xf borderId="16" fillId="0" fontId="7" numFmtId="166" xfId="0" applyAlignment="1" applyBorder="1" applyFont="1" applyNumberFormat="1">
      <alignment readingOrder="0"/>
    </xf>
    <xf borderId="16" fillId="3" fontId="8" numFmtId="167" xfId="0" applyAlignment="1" applyBorder="1" applyFill="1" applyFont="1" applyNumberFormat="1">
      <alignment readingOrder="0" shrinkToFit="0" vertical="center" wrapText="0"/>
    </xf>
    <xf borderId="16" fillId="4" fontId="7" numFmtId="1" xfId="0" applyAlignment="1" applyBorder="1" applyFill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1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3" fontId="8" numFmtId="0" xfId="0" applyAlignment="1" applyFill="1" applyFont="1">
      <alignment readingOrder="0" shrinkToFit="0" vertical="center" wrapText="0"/>
    </xf>
    <xf borderId="16" fillId="4" fontId="7" numFmtId="0" xfId="0" applyAlignment="1" applyBorder="1" applyFill="1" applyFont="1">
      <alignment readingOrder="0" shrinkToFit="0" vertical="center" wrapText="0"/>
    </xf>
    <xf borderId="16" fillId="4" fontId="7" numFmtId="166" xfId="0" applyAlignment="1" applyBorder="1" applyFill="1" applyFont="1" applyNumberFormat="1">
      <alignment readingOrder="0" shrinkToFit="0" vertical="center" wrapText="0"/>
    </xf>
    <xf borderId="16" fillId="4" fontId="7" numFmtId="1" xfId="0" applyAlignment="1" applyBorder="1" applyFill="1" applyFont="1" applyNumberFormat="1">
      <alignment readingOrder="0" shrinkToFit="0" vertical="center" wrapText="0"/>
    </xf>
    <xf borderId="16" fillId="0" fontId="7" numFmtId="49" xfId="0" applyAlignment="1" applyBorder="1" applyFont="1" applyNumberFormat="1">
      <alignment shrinkToFit="0" vertical="center" wrapText="0"/>
    </xf>
    <xf borderId="16" fillId="3" fontId="8" numFmtId="168" xfId="0" applyAlignment="1" applyBorder="1" applyFill="1" applyFont="1" applyNumberFormat="1">
      <alignment readingOrder="0" shrinkToFit="0" vertical="center" wrapText="0"/>
    </xf>
    <xf borderId="16" fillId="16" fontId="8" numFmtId="0" xfId="0" applyAlignment="1" applyBorder="1" applyFill="1" applyFont="1">
      <alignment readingOrder="0" shrinkToFit="0" vertical="center" wrapText="0"/>
    </xf>
    <xf borderId="16" fillId="3" fontId="9" numFmtId="167" xfId="0" applyAlignment="1" applyBorder="1" applyFill="1" applyFont="1" applyNumberFormat="1">
      <alignment horizontal="right" shrinkToFit="0" vertical="center" wrapText="0"/>
    </xf>
    <xf borderId="16" fillId="13" fontId="9" numFmtId="49" xfId="0" applyAlignment="1" applyBorder="1" applyFill="1" applyFont="1" applyNumberFormat="1">
      <alignment shrinkToFit="0" vertical="center" wrapText="0"/>
    </xf>
    <xf borderId="16" fillId="3" fontId="9" numFmtId="0" xfId="0" applyAlignment="1" applyBorder="1" applyFill="1" applyFont="1">
      <alignment horizontal="right" shrinkToFit="0" vertical="center" wrapText="0"/>
    </xf>
    <xf borderId="16" fillId="3" fontId="9" numFmtId="0" xfId="0" applyAlignment="1" applyBorder="1" applyFill="1" applyFont="1">
      <alignment horizontal="right" shrinkToFit="0" vertical="center" wrapText="0"/>
    </xf>
    <xf borderId="16" fillId="3" fontId="3" numFmtId="0" xfId="0" applyAlignment="1" applyBorder="1" applyFill="1" applyFont="1">
      <alignment shrinkToFit="0" vertical="center" wrapText="0"/>
    </xf>
    <xf borderId="16" fillId="3" fontId="9" numFmtId="0" xfId="0" applyAlignment="1" applyBorder="1" applyFill="1" applyFont="1">
      <alignment horizontal="right" shrinkToFit="0" vertical="center" wrapText="0"/>
    </xf>
    <xf borderId="16" fillId="3" fontId="9" numFmtId="0" xfId="0" applyAlignment="1" applyBorder="1" applyFill="1" applyFont="1">
      <alignment shrinkToFit="0" vertical="center" wrapText="0"/>
    </xf>
    <xf borderId="16" fillId="3" fontId="3" numFmtId="166" xfId="0" applyAlignment="1" applyBorder="1" applyFill="1" applyFont="1" applyNumberFormat="1">
      <alignment readingOrder="0" shrinkToFit="0" vertical="center" wrapText="0"/>
    </xf>
    <xf borderId="16" fillId="3" fontId="3" numFmtId="49" xfId="0" applyAlignment="1" applyBorder="1" applyFill="1" applyFont="1" applyNumberFormat="1">
      <alignment readingOrder="0" shrinkToFit="0" vertical="center" wrapText="0"/>
    </xf>
    <xf borderId="16" fillId="3" fontId="3" numFmtId="0" xfId="0" applyAlignment="1" applyBorder="1" applyFill="1" applyFont="1">
      <alignment readingOrder="0" shrinkToFit="0" vertical="center" wrapText="0"/>
    </xf>
    <xf borderId="16" fillId="3" fontId="3" numFmtId="0" xfId="0" applyAlignment="1" applyBorder="1" applyFill="1" applyFont="1">
      <alignment shrinkToFit="0" vertical="center" wrapText="0"/>
    </xf>
    <xf borderId="31" fillId="3" fontId="3" numFmtId="0" xfId="0" applyAlignment="1" applyBorder="1" applyFill="1" applyFont="1">
      <alignment shrinkToFit="0" vertical="center" wrapText="0"/>
    </xf>
    <xf borderId="16" fillId="0" fontId="7" numFmtId="49" xfId="0" applyAlignment="1" applyBorder="1" applyFont="1" applyNumberFormat="1">
      <alignment readingOrder="0" shrinkToFit="0" vertical="center" wrapText="0"/>
    </xf>
    <xf borderId="16" fillId="3" fontId="8" numFmtId="169" xfId="0" applyAlignment="1" applyBorder="1" applyFill="1" applyFont="1" applyNumberFormat="1">
      <alignment readingOrder="0" shrinkToFit="0" vertical="center" wrapText="0"/>
    </xf>
    <xf borderId="16" fillId="3" fontId="11" numFmtId="0" xfId="0" applyAlignment="1" applyBorder="1" applyFill="1" applyFont="1">
      <alignment readingOrder="0" shrinkToFit="0" vertical="center" wrapText="0"/>
    </xf>
    <xf borderId="16" fillId="3" fontId="8" numFmtId="0" xfId="0" applyAlignment="1" applyBorder="1" applyFill="1" applyFont="1">
      <alignment readingOrder="0" shrinkToFit="0" vertical="center" wrapText="0"/>
    </xf>
    <xf borderId="16" fillId="0" fontId="6" numFmtId="0" xfId="0" applyAlignment="1" applyBorder="1" applyFont="1">
      <alignment readingOrder="0" shrinkToFit="0" vertical="center" wrapText="0"/>
    </xf>
    <xf borderId="16" fillId="0" fontId="6" numFmtId="0" xfId="0" applyAlignment="1" applyBorder="1" applyFont="1">
      <alignment shrinkToFit="0" vertical="center" wrapText="0"/>
    </xf>
    <xf borderId="16" fillId="0" fontId="6" numFmtId="49" xfId="0" applyAlignment="1" applyBorder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8" numFmtId="0" xfId="0" applyFont="1"/>
    <xf borderId="0" fillId="3" fontId="8" numFmtId="0" xfId="0" applyFill="1" applyFont="1"/>
    <xf borderId="16" fillId="0" fontId="12" numFmtId="0" xfId="0" applyAlignment="1" applyBorder="1" applyFont="1">
      <alignment readingOrder="0" shrinkToFit="0" vertical="center" wrapText="0"/>
    </xf>
    <xf borderId="16" fillId="0" fontId="7" numFmtId="1" xfId="0" applyAlignment="1" applyBorder="1" applyFont="1" applyNumberFormat="1">
      <alignment shrinkToFit="0" vertical="center" wrapText="0"/>
    </xf>
    <xf borderId="16" fillId="4" fontId="7" numFmtId="0" xfId="0" applyAlignment="1" applyBorder="1" applyFill="1" applyFont="1">
      <alignment shrinkToFit="0" vertical="center" wrapText="0"/>
    </xf>
    <xf borderId="0" fillId="4" fontId="7" numFmtId="0" xfId="0" applyAlignment="1" applyFill="1" applyFont="1">
      <alignment shrinkToFit="0" vertical="center" wrapText="0"/>
    </xf>
    <xf borderId="0" fillId="4" fontId="7" numFmtId="0" xfId="0" applyAlignment="1" applyFill="1" applyFont="1">
      <alignment readingOrder="0" shrinkToFit="0" vertical="center" wrapText="0"/>
    </xf>
    <xf borderId="16" fillId="17" fontId="13" numFmtId="0" xfId="0" applyAlignment="1" applyBorder="1" applyFill="1" applyFont="1">
      <alignment shrinkToFit="0" vertical="center" wrapText="0"/>
    </xf>
    <xf borderId="16" fillId="17" fontId="3" numFmtId="0" xfId="0" applyAlignment="1" applyBorder="1" applyFill="1" applyFont="1">
      <alignment shrinkToFit="0" vertical="center" wrapText="0"/>
    </xf>
    <xf borderId="16" fillId="17" fontId="13" numFmtId="166" xfId="0" applyAlignment="1" applyBorder="1" applyFill="1" applyFont="1" applyNumberFormat="1">
      <alignment horizontal="right" shrinkToFit="0" vertical="center" wrapText="0"/>
    </xf>
    <xf borderId="16" fillId="17" fontId="13" numFmtId="1" xfId="0" applyAlignment="1" applyBorder="1" applyFill="1" applyFont="1" applyNumberFormat="1">
      <alignment horizontal="right" shrinkToFit="0" vertical="center" wrapText="0"/>
    </xf>
    <xf borderId="16" fillId="3" fontId="13" numFmtId="0" xfId="0" applyAlignment="1" applyBorder="1" applyFill="1" applyFont="1">
      <alignment shrinkToFit="0" vertical="center" wrapText="0"/>
    </xf>
    <xf borderId="16" fillId="3" fontId="13" numFmtId="166" xfId="0" applyAlignment="1" applyBorder="1" applyFill="1" applyFont="1" applyNumberFormat="1">
      <alignment horizontal="right" shrinkToFit="0" vertical="center" wrapText="0"/>
    </xf>
    <xf borderId="16" fillId="3" fontId="13" numFmtId="1" xfId="0" applyAlignment="1" applyBorder="1" applyFill="1" applyFont="1" applyNumberFormat="1">
      <alignment horizontal="right" shrinkToFit="0" vertical="center" wrapText="0"/>
    </xf>
    <xf borderId="16" fillId="3" fontId="13" numFmtId="0" xfId="0" applyAlignment="1" applyBorder="1" applyFill="1" applyFont="1">
      <alignment shrinkToFit="0" vertical="center" wrapText="0"/>
    </xf>
    <xf borderId="16" fillId="17" fontId="9" numFmtId="1" xfId="0" applyAlignment="1" applyBorder="1" applyFill="1" applyFont="1" applyNumberFormat="1">
      <alignment horizontal="right" shrinkToFit="0" vertical="center" wrapText="0"/>
    </xf>
    <xf borderId="16" fillId="17" fontId="3" numFmtId="1" xfId="0" applyAlignment="1" applyBorder="1" applyFill="1" applyFont="1" applyNumberFormat="1">
      <alignment shrinkToFit="0" vertical="center" wrapText="0"/>
    </xf>
    <xf borderId="16" fillId="3" fontId="13" numFmtId="167" xfId="0" applyAlignment="1" applyBorder="1" applyFill="1" applyFont="1" applyNumberFormat="1">
      <alignment horizontal="right" shrinkToFit="0" vertical="center" wrapText="0"/>
    </xf>
    <xf borderId="16" fillId="3" fontId="9" numFmtId="1" xfId="0" applyAlignment="1" applyBorder="1" applyFill="1" applyFont="1" applyNumberFormat="1">
      <alignment horizontal="right" shrinkToFit="0" vertical="center" wrapText="0"/>
    </xf>
    <xf borderId="16" fillId="3" fontId="3" numFmtId="1" xfId="0" applyAlignment="1" applyBorder="1" applyFill="1" applyFont="1" applyNumberFormat="1">
      <alignment shrinkToFit="0" vertical="center" wrapText="0"/>
    </xf>
    <xf borderId="16" fillId="17" fontId="13" numFmtId="167" xfId="0" applyAlignment="1" applyBorder="1" applyFill="1" applyFont="1" applyNumberFormat="1">
      <alignment horizontal="right" shrinkToFit="0" vertical="center" wrapText="0"/>
    </xf>
    <xf borderId="16" fillId="17" fontId="13" numFmtId="0" xfId="0" applyAlignment="1" applyBorder="1" applyFill="1" applyFont="1">
      <alignment shrinkToFit="0" vertical="center" wrapText="0"/>
    </xf>
    <xf borderId="16" fillId="3" fontId="14" numFmtId="0" xfId="0" applyAlignment="1" applyBorder="1" applyFill="1" applyFont="1">
      <alignment shrinkToFit="0" wrapText="0"/>
    </xf>
    <xf borderId="16" fillId="3" fontId="3" numFmtId="0" xfId="0" applyBorder="1" applyFill="1" applyFont="1"/>
    <xf borderId="16" fillId="3" fontId="13" numFmtId="166" xfId="0" applyAlignment="1" applyBorder="1" applyFill="1" applyFont="1" applyNumberFormat="1">
      <alignment horizontal="right" shrinkToFit="0" wrapText="0"/>
    </xf>
    <xf borderId="16" fillId="3" fontId="14" numFmtId="1" xfId="0" applyAlignment="1" applyBorder="1" applyFill="1" applyFont="1" applyNumberFormat="1">
      <alignment horizontal="right" shrinkToFit="0" wrapText="0"/>
    </xf>
    <xf borderId="0" fillId="0" fontId="6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EED0CE"/>
          <bgColor rgb="FFEED0CE"/>
        </patternFill>
      </fill>
      <border/>
    </dxf>
  </dxfs>
  <tableStyles count="7">
    <tableStyle count="4" pivot="0" name="Expense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evenue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5" pivot="0" name="Quarterly Revenue-style">
      <tableStyleElement dxfId="1" type="headerRow"/>
      <tableStyleElement dxfId="3" type="firstRowStripe"/>
      <tableStyleElement dxfId="4" type="secondRowStripe"/>
      <tableStyleElement dxfId="6" type="totalRow"/>
      <tableStyleElement dxfId="5" size="0" type="wholeTable"/>
    </tableStyle>
    <tableStyle count="2" pivot="0" name="Quarterly Revenue-style 2">
      <tableStyleElement dxfId="3" type="firstRowStripe"/>
      <tableStyleElement dxfId="4" type="secondRowStripe"/>
    </tableStyle>
    <tableStyle count="2" pivot="0" name="Quarterly Revenue-style 3">
      <tableStyleElement dxfId="3" type="firstRowStripe"/>
      <tableStyleElement dxfId="4" type="secondRowStripe"/>
    </tableStyle>
    <tableStyle count="2" pivot="0" name="Quarterly Revenue-style 4">
      <tableStyleElement dxfId="4" type="firstRowStripe"/>
      <tableStyleElement dxfId="3" type="secondRowStripe"/>
    </tableStyle>
    <tableStyle count="2" pivot="0" name="Quarterly Revenue-style 5"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9" displayName="Revenue" name="Revenue" id="2">
  <tableColumns count="9">
    <tableColumn name="F" id="1"/>
    <tableColumn name="Project" id="2"/>
    <tableColumn name="Budget (including GST)" id="3"/>
    <tableColumn name="Date" id="4"/>
    <tableColumn name="Advance/Payment" id="5"/>
    <tableColumn name="Amount" id="6"/>
    <tableColumn name="TDS amount" id="7"/>
    <tableColumn name="Balance" id="8"/>
    <tableColumn name="Column 1" id="9"/>
  </tableColumns>
  <tableStyleInfo name="Revenue-style" showColumnStripes="0" showFirstColumn="1" showLastColumn="1" showRowStripes="1"/>
</table>
</file>

<file path=xl/tables/table2.xml><?xml version="1.0" encoding="utf-8"?>
<table xmlns="http://schemas.openxmlformats.org/spreadsheetml/2006/main" ref="A1:K1296" displayName="Expenses" name="Expenses" id="1">
  <tableColumns count="11">
    <tableColumn name="S No." id="1"/>
    <tableColumn name="Type Of Expenses" id="2"/>
    <tableColumn name="Project/operational" id="3"/>
    <tableColumn name="Date" id="4"/>
    <tableColumn name="Amount" id="5"/>
    <tableColumn name="TDS" id="6"/>
    <tableColumn name="Total Amount" id="7"/>
    <tableColumn name="Column 1" id="8"/>
    <tableColumn name="Column 2" id="9"/>
    <tableColumn name="Column 3" id="10"/>
    <tableColumn name="Column 4" id="11"/>
  </tableColumns>
  <tableStyleInfo name="Expenses-style" showColumnStripes="0" showFirstColumn="1" showLastColumn="1" showRowStripes="1"/>
</table>
</file>

<file path=xl/tables/table3.xml><?xml version="1.0" encoding="utf-8"?>
<table xmlns="http://schemas.openxmlformats.org/spreadsheetml/2006/main" totalsRowCount="1" ref="C8:H12" displayName="Quarter_1" name="Quarter_1" id="3">
  <tableColumns count="6">
    <tableColumn totalsRowLabel="ITC Sunrise(Social)" name="April" id="1"/>
    <tableColumn totalsRowLabel="177000" name="Amount" id="2"/>
    <tableColumn totalsRowLabel="Dabur" name="May" id="3"/>
    <tableColumn totalsRowLabel="572300" name="Amount 2" id="4"/>
    <tableColumn totalsRowLabel="Medanta Hospitals" name="June" id="5"/>
    <tableColumn totalsRowFunction="custom" name="Amount 3" id="6"/>
  </tableColumns>
  <tableStyleInfo name="Quarterly Revenue-style" showColumnStripes="0" showFirstColumn="1" showLastColumn="1" showRowStripes="1"/>
</table>
</file>

<file path=xl/tables/table4.xml><?xml version="1.0" encoding="utf-8"?>
<table xmlns="http://schemas.openxmlformats.org/spreadsheetml/2006/main" headerRowCount="0" ref="I9:J12" displayName="Table_1" name="Table_1" id="4">
  <tableColumns count="2">
    <tableColumn name="Column1" id="1"/>
    <tableColumn name="Column2" id="2"/>
  </tableColumns>
  <tableStyleInfo name="Quarterly Revenue-style 2" showColumnStripes="0" showFirstColumn="1" showLastColumn="1" showRowStripes="1"/>
</table>
</file>

<file path=xl/tables/table5.xml><?xml version="1.0" encoding="utf-8"?>
<table xmlns="http://schemas.openxmlformats.org/spreadsheetml/2006/main" headerRowCount="0" ref="C13:D15" displayName="Table_2" name="Table_2" id="5">
  <tableColumns count="2">
    <tableColumn name="Column1" id="1"/>
    <tableColumn name="Column2" id="2"/>
  </tableColumns>
  <tableStyleInfo name="Quarterly Revenue-style 3" showColumnStripes="0" showFirstColumn="1" showLastColumn="1" showRowStripes="1"/>
</table>
</file>

<file path=xl/tables/table6.xml><?xml version="1.0" encoding="utf-8"?>
<table xmlns="http://schemas.openxmlformats.org/spreadsheetml/2006/main" headerRowCount="0" ref="G20:H28" displayName="Table_3" name="Table_3" id="6">
  <tableColumns count="2">
    <tableColumn name="Column1" id="1"/>
    <tableColumn name="Column2" id="2"/>
  </tableColumns>
  <tableStyleInfo name="Quarterly Revenue-style 4" showColumnStripes="0" showFirstColumn="1" showLastColumn="1" showRowStripes="1"/>
</table>
</file>

<file path=xl/tables/table7.xml><?xml version="1.0" encoding="utf-8"?>
<table xmlns="http://schemas.openxmlformats.org/spreadsheetml/2006/main" headerRowCount="0" ref="G31:H38" displayName="Table_4" name="Table_4" id="7">
  <tableColumns count="2">
    <tableColumn name="Column1" id="1"/>
    <tableColumn name="Column2" id="2"/>
  </tableColumns>
  <tableStyleInfo name="Quarterly Revenue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hadi.com/" TargetMode="External"/><Relationship Id="rId2" Type="http://schemas.openxmlformats.org/officeDocument/2006/relationships/hyperlink" Target="http://shadi.com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rea.ai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45.0"/>
    <col customWidth="1" min="3" max="3" width="21.88"/>
    <col customWidth="1" min="4" max="4" width="16.63"/>
    <col customWidth="1" min="5" max="5" width="33.25"/>
    <col customWidth="1" min="6" max="6" width="25.25"/>
    <col customWidth="1" min="7" max="7" width="19.25"/>
    <col customWidth="1" min="8" max="8" width="21.5"/>
  </cols>
  <sheetData>
    <row r="1" ht="22.5" customHeight="1">
      <c r="A1" s="15" t="s">
        <v>5</v>
      </c>
      <c r="B1" s="18" t="s">
        <v>6</v>
      </c>
      <c r="C1" s="18" t="s">
        <v>8</v>
      </c>
      <c r="D1" s="25" t="s">
        <v>11</v>
      </c>
      <c r="E1" s="25" t="s">
        <v>13</v>
      </c>
      <c r="F1" s="25" t="s">
        <v>14</v>
      </c>
      <c r="G1" s="32" t="s">
        <v>15</v>
      </c>
      <c r="H1" s="32" t="s">
        <v>18</v>
      </c>
      <c r="I1" s="36" t="s">
        <v>20</v>
      </c>
    </row>
    <row r="2" ht="22.5" customHeight="1">
      <c r="A2" s="38">
        <v>1.0</v>
      </c>
      <c r="B2" s="38" t="s">
        <v>25</v>
      </c>
      <c r="C2" s="38">
        <v>59000.0</v>
      </c>
      <c r="D2" s="41">
        <v>45777.0</v>
      </c>
      <c r="E2" s="42" t="s">
        <v>27</v>
      </c>
      <c r="F2" s="38">
        <v>54000.0</v>
      </c>
      <c r="G2" s="38">
        <f t="shared" ref="G2:G3" si="1">C2-F2</f>
        <v>5000</v>
      </c>
      <c r="H2" s="38">
        <v>0.0</v>
      </c>
      <c r="I2" s="52"/>
    </row>
    <row r="3" ht="22.5" customHeight="1">
      <c r="A3" s="38"/>
      <c r="B3" s="38"/>
      <c r="C3" s="38"/>
      <c r="D3" s="41"/>
      <c r="E3" s="59"/>
      <c r="F3" s="38"/>
      <c r="G3" s="38">
        <f t="shared" si="1"/>
        <v>0</v>
      </c>
      <c r="H3" s="38"/>
      <c r="I3" s="52"/>
    </row>
    <row r="4" ht="22.5" customHeight="1">
      <c r="A4" s="64">
        <v>2.0</v>
      </c>
      <c r="B4" s="64" t="s">
        <v>35</v>
      </c>
      <c r="C4" s="64"/>
      <c r="D4" s="41">
        <v>45748.0</v>
      </c>
      <c r="E4" s="42" t="s">
        <v>27</v>
      </c>
      <c r="F4" s="64">
        <v>400000.0</v>
      </c>
      <c r="G4" s="64">
        <v>0.0</v>
      </c>
      <c r="H4" s="64">
        <v>0.0</v>
      </c>
      <c r="I4" s="52"/>
    </row>
    <row r="5" ht="22.5" customHeight="1">
      <c r="A5" s="64">
        <v>3.0</v>
      </c>
      <c r="B5" s="64" t="s">
        <v>39</v>
      </c>
      <c r="C5" s="64"/>
      <c r="D5" s="70">
        <v>45749.0</v>
      </c>
      <c r="E5" s="42" t="s">
        <v>27</v>
      </c>
      <c r="F5" s="64">
        <v>348000.0</v>
      </c>
      <c r="G5" s="64">
        <v>6000.0</v>
      </c>
      <c r="H5" s="64">
        <v>0.0</v>
      </c>
      <c r="I5" s="52"/>
    </row>
    <row r="6" ht="22.5" customHeight="1">
      <c r="A6" s="64">
        <v>4.0</v>
      </c>
      <c r="B6" s="64" t="s">
        <v>44</v>
      </c>
      <c r="C6" s="64"/>
      <c r="D6" s="70">
        <v>45754.0</v>
      </c>
      <c r="E6" s="59" t="s">
        <v>46</v>
      </c>
      <c r="F6" s="64">
        <v>100000.0</v>
      </c>
      <c r="G6" s="64">
        <v>4600.0</v>
      </c>
      <c r="H6" s="64">
        <v>0.0</v>
      </c>
      <c r="I6" s="52"/>
    </row>
    <row r="7" ht="22.5" customHeight="1">
      <c r="A7" s="64"/>
      <c r="B7" s="64"/>
      <c r="C7" s="64"/>
      <c r="D7" s="70">
        <v>45756.0</v>
      </c>
      <c r="E7" s="59" t="s">
        <v>51</v>
      </c>
      <c r="F7" s="64">
        <v>55200.0</v>
      </c>
      <c r="G7" s="83"/>
      <c r="H7" s="64">
        <v>0.0</v>
      </c>
      <c r="I7" s="52"/>
    </row>
    <row r="8" ht="22.5" customHeight="1">
      <c r="A8" s="64">
        <v>5.0</v>
      </c>
      <c r="B8" s="64" t="s">
        <v>55</v>
      </c>
      <c r="C8" s="64"/>
      <c r="D8" s="70">
        <v>45754.0</v>
      </c>
      <c r="E8" s="59" t="s">
        <v>57</v>
      </c>
      <c r="F8" s="64">
        <v>264600.0</v>
      </c>
      <c r="G8" s="83"/>
      <c r="H8" s="83"/>
      <c r="I8" s="52"/>
    </row>
    <row r="9" ht="22.5" customHeight="1">
      <c r="A9" s="64"/>
      <c r="B9" s="64"/>
      <c r="C9" s="64"/>
      <c r="D9" s="70">
        <v>45772.0</v>
      </c>
      <c r="E9" s="59" t="s">
        <v>70</v>
      </c>
      <c r="F9" s="64">
        <v>226800.0</v>
      </c>
      <c r="G9" s="64">
        <v>70000.0</v>
      </c>
      <c r="H9" s="83"/>
      <c r="I9" s="52"/>
    </row>
    <row r="10" ht="22.5" customHeight="1">
      <c r="A10" s="64">
        <v>6.0</v>
      </c>
      <c r="B10" s="64" t="s">
        <v>74</v>
      </c>
      <c r="C10" s="64"/>
      <c r="D10" s="70">
        <v>45762.0</v>
      </c>
      <c r="E10" s="59" t="s">
        <v>75</v>
      </c>
      <c r="F10" s="64">
        <v>147000.0</v>
      </c>
      <c r="G10" s="64">
        <v>30000.0</v>
      </c>
      <c r="H10" s="64">
        <v>0.0</v>
      </c>
      <c r="I10" s="52"/>
    </row>
    <row r="11" ht="22.5" customHeight="1">
      <c r="A11" s="64">
        <v>7.0</v>
      </c>
      <c r="B11" s="64" t="s">
        <v>77</v>
      </c>
      <c r="C11" s="64">
        <v>15000.0</v>
      </c>
      <c r="D11" s="70">
        <v>45750.0</v>
      </c>
      <c r="E11" s="59" t="s">
        <v>27</v>
      </c>
      <c r="F11" s="64">
        <v>15000.0</v>
      </c>
      <c r="G11" s="64">
        <v>0.0</v>
      </c>
      <c r="H11" s="64">
        <v>0.0</v>
      </c>
      <c r="I11" s="52"/>
    </row>
    <row r="12" ht="22.5" customHeight="1">
      <c r="A12" s="64">
        <v>8.0</v>
      </c>
      <c r="B12" s="64" t="s">
        <v>79</v>
      </c>
      <c r="C12" s="64"/>
      <c r="D12" s="70">
        <v>45755.0</v>
      </c>
      <c r="E12" s="59" t="s">
        <v>80</v>
      </c>
      <c r="F12" s="64">
        <v>290000.0</v>
      </c>
      <c r="G12" s="64"/>
      <c r="H12" s="64"/>
      <c r="I12" s="52"/>
    </row>
    <row r="13" ht="22.5" customHeight="1">
      <c r="A13" s="64"/>
      <c r="B13" s="64"/>
      <c r="C13" s="64"/>
      <c r="D13" s="70">
        <v>45790.0</v>
      </c>
      <c r="E13" s="106" t="s">
        <v>82</v>
      </c>
      <c r="F13" s="64">
        <v>290000.0</v>
      </c>
      <c r="G13" s="64">
        <v>10000.0</v>
      </c>
      <c r="H13" s="64"/>
      <c r="I13" s="52"/>
    </row>
    <row r="14" ht="22.5" customHeight="1">
      <c r="A14" s="64">
        <v>9.0</v>
      </c>
      <c r="B14" s="64" t="s">
        <v>84</v>
      </c>
      <c r="C14" s="64">
        <v>684400.0</v>
      </c>
      <c r="D14" s="70">
        <v>45811.0</v>
      </c>
      <c r="E14" s="112" t="s">
        <v>85</v>
      </c>
      <c r="F14" s="64">
        <v>672800.0</v>
      </c>
      <c r="G14" s="64">
        <v>11600.0</v>
      </c>
      <c r="H14" s="64">
        <v>0.0</v>
      </c>
      <c r="I14" s="52"/>
    </row>
    <row r="15" ht="22.5" customHeight="1">
      <c r="A15" s="64">
        <v>10.0</v>
      </c>
      <c r="B15" s="64" t="s">
        <v>87</v>
      </c>
      <c r="C15" s="64">
        <v>283200.0</v>
      </c>
      <c r="D15" s="70">
        <v>45764.0</v>
      </c>
      <c r="E15" s="59" t="s">
        <v>27</v>
      </c>
      <c r="F15" s="64">
        <v>259200.0</v>
      </c>
      <c r="G15" s="64">
        <v>24000.0</v>
      </c>
      <c r="H15" s="64">
        <v>0.0</v>
      </c>
      <c r="I15" s="52"/>
    </row>
    <row r="16" ht="22.5" customHeight="1">
      <c r="A16" s="64">
        <v>11.0</v>
      </c>
      <c r="B16" s="64" t="s">
        <v>90</v>
      </c>
      <c r="C16" s="64">
        <v>177000.0</v>
      </c>
      <c r="D16" s="70">
        <v>45852.0</v>
      </c>
      <c r="E16" s="113" t="s">
        <v>27</v>
      </c>
      <c r="F16" s="64">
        <v>162000.0</v>
      </c>
      <c r="G16" s="83">
        <f>C16-F16</f>
        <v>15000</v>
      </c>
      <c r="H16" s="64">
        <v>0.0</v>
      </c>
      <c r="I16" s="52"/>
    </row>
    <row r="17" ht="22.5" customHeight="1">
      <c r="A17" s="64">
        <v>12.0</v>
      </c>
      <c r="B17" s="64" t="s">
        <v>93</v>
      </c>
      <c r="C17" s="64"/>
      <c r="D17" s="70">
        <v>45785.0</v>
      </c>
      <c r="E17" s="106" t="s">
        <v>94</v>
      </c>
      <c r="F17" s="64">
        <v>40500.0</v>
      </c>
      <c r="G17" s="64">
        <v>3750.0</v>
      </c>
      <c r="H17" s="64"/>
      <c r="I17" s="52"/>
    </row>
    <row r="18" ht="22.5" customHeight="1">
      <c r="A18" s="64">
        <v>13.0</v>
      </c>
      <c r="B18" s="64" t="s">
        <v>95</v>
      </c>
      <c r="C18" s="64"/>
      <c r="D18" s="70">
        <v>45791.0</v>
      </c>
      <c r="E18" s="106" t="s">
        <v>96</v>
      </c>
      <c r="F18" s="64">
        <v>300000.0</v>
      </c>
      <c r="G18" s="83"/>
      <c r="H18" s="64"/>
      <c r="I18" s="52"/>
    </row>
    <row r="19" ht="22.5" customHeight="1">
      <c r="A19" s="64"/>
      <c r="B19" s="64"/>
      <c r="C19" s="64"/>
      <c r="D19" s="70">
        <v>45797.0</v>
      </c>
      <c r="E19" s="106" t="s">
        <v>94</v>
      </c>
      <c r="F19" s="64">
        <v>150000.0</v>
      </c>
      <c r="G19" s="83"/>
      <c r="H19" s="64"/>
      <c r="I19" s="52"/>
    </row>
    <row r="20" ht="22.5" customHeight="1">
      <c r="A20" s="64">
        <v>14.0</v>
      </c>
      <c r="B20" s="64" t="s">
        <v>99</v>
      </c>
      <c r="C20" s="64"/>
      <c r="D20" s="70">
        <v>45772.0</v>
      </c>
      <c r="E20" s="59" t="s">
        <v>18</v>
      </c>
      <c r="F20" s="64">
        <v>161640.0</v>
      </c>
      <c r="G20" s="64"/>
      <c r="H20" s="64"/>
      <c r="I20" s="52"/>
    </row>
    <row r="21" ht="22.5" customHeight="1">
      <c r="A21" s="64"/>
      <c r="B21" s="83"/>
      <c r="C21" s="64"/>
      <c r="D21" s="70">
        <v>45777.0</v>
      </c>
      <c r="E21" s="59" t="s">
        <v>100</v>
      </c>
      <c r="F21" s="64">
        <v>57240.0</v>
      </c>
      <c r="G21" s="64">
        <v>6360.0</v>
      </c>
      <c r="H21" s="64"/>
      <c r="I21" s="52"/>
    </row>
    <row r="22" ht="22.5" customHeight="1">
      <c r="A22" s="64">
        <v>15.0</v>
      </c>
      <c r="B22" s="64" t="s">
        <v>102</v>
      </c>
      <c r="C22" s="64"/>
      <c r="D22" s="70">
        <v>45787.0</v>
      </c>
      <c r="E22" s="106" t="s">
        <v>103</v>
      </c>
      <c r="F22" s="64">
        <v>162000.0</v>
      </c>
      <c r="G22" s="64">
        <v>15000.0</v>
      </c>
      <c r="H22" s="64">
        <v>0.0</v>
      </c>
      <c r="I22" s="52"/>
    </row>
    <row r="23" ht="22.5" customHeight="1">
      <c r="A23" s="64">
        <v>16.0</v>
      </c>
      <c r="B23" s="64" t="s">
        <v>104</v>
      </c>
      <c r="C23" s="64">
        <v>2478000.0</v>
      </c>
      <c r="D23" s="70">
        <v>45810.0</v>
      </c>
      <c r="E23" s="112" t="s">
        <v>105</v>
      </c>
      <c r="F23" s="64">
        <v>1392000.0</v>
      </c>
      <c r="G23" s="83">
        <f>C23-F23-F24</f>
        <v>42000</v>
      </c>
      <c r="H23" s="64">
        <v>0.0</v>
      </c>
      <c r="I23" s="52"/>
    </row>
    <row r="24" ht="22.5" customHeight="1">
      <c r="A24" s="83"/>
      <c r="B24" s="83"/>
      <c r="C24" s="64"/>
      <c r="D24" s="70">
        <v>45839.0</v>
      </c>
      <c r="E24" s="113" t="s">
        <v>108</v>
      </c>
      <c r="F24" s="64">
        <v>1044000.0</v>
      </c>
      <c r="G24" s="83"/>
      <c r="H24" s="83"/>
      <c r="I24" s="52"/>
    </row>
    <row r="25" ht="22.5" customHeight="1">
      <c r="A25" s="83"/>
      <c r="B25" s="83"/>
      <c r="C25" s="64"/>
      <c r="D25" s="83"/>
      <c r="E25" s="114"/>
      <c r="F25" s="83"/>
      <c r="G25" s="83"/>
      <c r="H25" s="83"/>
      <c r="I25" s="115"/>
    </row>
    <row r="26" ht="22.5" customHeight="1">
      <c r="A26" s="64">
        <v>17.0</v>
      </c>
      <c r="B26" s="64" t="s">
        <v>114</v>
      </c>
      <c r="C26" s="64">
        <v>531000.0</v>
      </c>
      <c r="D26" s="70">
        <v>45782.0</v>
      </c>
      <c r="E26" s="106" t="s">
        <v>115</v>
      </c>
      <c r="F26" s="64">
        <f>50000+150000</f>
        <v>200000</v>
      </c>
      <c r="G26" s="83"/>
      <c r="H26" s="83">
        <f>C26-F26-F27-F28-F29</f>
        <v>31000</v>
      </c>
      <c r="I26" s="52"/>
    </row>
    <row r="27" ht="22.5" customHeight="1">
      <c r="A27" s="64"/>
      <c r="B27" s="64"/>
      <c r="C27" s="64"/>
      <c r="D27" s="70">
        <v>45783.0</v>
      </c>
      <c r="E27" s="106" t="s">
        <v>115</v>
      </c>
      <c r="F27" s="64">
        <v>50000.0</v>
      </c>
      <c r="G27" s="83"/>
      <c r="H27" s="64"/>
      <c r="I27" s="52"/>
    </row>
    <row r="28" ht="22.5" customHeight="1">
      <c r="A28" s="64"/>
      <c r="B28" s="64"/>
      <c r="C28" s="64"/>
      <c r="D28" s="70">
        <v>45794.0</v>
      </c>
      <c r="E28" s="106" t="s">
        <v>115</v>
      </c>
      <c r="F28" s="64">
        <v>150000.0</v>
      </c>
      <c r="G28" s="83"/>
      <c r="H28" s="64"/>
      <c r="I28" s="52"/>
    </row>
    <row r="29" ht="22.5" customHeight="1">
      <c r="A29" s="64"/>
      <c r="B29" s="64"/>
      <c r="C29" s="64"/>
      <c r="D29" s="70">
        <v>45810.0</v>
      </c>
      <c r="E29" s="112" t="s">
        <v>125</v>
      </c>
      <c r="F29" s="64">
        <v>100000.0</v>
      </c>
      <c r="G29" s="83"/>
      <c r="H29" s="64"/>
      <c r="I29" s="52"/>
    </row>
    <row r="30" ht="22.5" customHeight="1">
      <c r="A30" s="64">
        <v>18.0</v>
      </c>
      <c r="B30" s="64" t="s">
        <v>128</v>
      </c>
      <c r="C30" s="64">
        <v>385500.0</v>
      </c>
      <c r="D30" s="70">
        <v>45850.0</v>
      </c>
      <c r="E30" s="113" t="s">
        <v>129</v>
      </c>
      <c r="F30" s="64">
        <v>325000.0</v>
      </c>
      <c r="G30" s="83"/>
      <c r="H30" s="83">
        <f>C30-F30</f>
        <v>60500</v>
      </c>
      <c r="I30" s="52"/>
    </row>
    <row r="31" ht="22.5" customHeight="1">
      <c r="A31" s="83"/>
      <c r="B31" s="64"/>
      <c r="C31" s="64"/>
      <c r="D31" s="83"/>
      <c r="E31" s="114"/>
      <c r="F31" s="83"/>
      <c r="G31" s="83"/>
      <c r="H31" s="83"/>
      <c r="I31" s="115"/>
    </row>
    <row r="32" ht="22.5" customHeight="1">
      <c r="A32" s="83"/>
      <c r="B32" s="64" t="s">
        <v>134</v>
      </c>
      <c r="C32" s="64"/>
      <c r="D32" s="83"/>
      <c r="E32" s="114"/>
      <c r="F32" s="83"/>
      <c r="G32" s="83"/>
      <c r="H32" s="83"/>
      <c r="I32" s="115"/>
    </row>
    <row r="33" ht="22.5" customHeight="1">
      <c r="A33" s="83"/>
      <c r="B33" s="64" t="s">
        <v>136</v>
      </c>
      <c r="C33" s="64"/>
      <c r="D33" s="83"/>
      <c r="E33" s="114"/>
      <c r="F33" s="83"/>
      <c r="G33" s="83"/>
      <c r="H33" s="83"/>
      <c r="I33" s="115"/>
    </row>
    <row r="34" ht="22.5" customHeight="1">
      <c r="A34" s="83"/>
      <c r="B34" s="64" t="s">
        <v>144</v>
      </c>
      <c r="C34" s="64"/>
      <c r="D34" s="83"/>
      <c r="E34" s="114"/>
      <c r="F34" s="83"/>
      <c r="G34" s="83"/>
      <c r="H34" s="83"/>
      <c r="I34" s="115"/>
    </row>
    <row r="35" ht="22.5" customHeight="1">
      <c r="A35" s="64">
        <v>19.0</v>
      </c>
      <c r="B35" s="64" t="s">
        <v>149</v>
      </c>
      <c r="C35" s="64">
        <v>100300.0</v>
      </c>
      <c r="D35" s="70">
        <v>45821.0</v>
      </c>
      <c r="E35" s="112" t="s">
        <v>27</v>
      </c>
      <c r="F35" s="64">
        <v>98600.0</v>
      </c>
      <c r="G35" s="64">
        <v>1700.0</v>
      </c>
      <c r="H35" s="64">
        <v>0.0</v>
      </c>
      <c r="I35" s="52"/>
    </row>
    <row r="36" ht="22.5" customHeight="1">
      <c r="A36" s="64">
        <v>20.0</v>
      </c>
      <c r="B36" s="64" t="s">
        <v>153</v>
      </c>
      <c r="C36" s="64">
        <v>330400.0</v>
      </c>
      <c r="D36" s="70">
        <v>45793.0</v>
      </c>
      <c r="E36" s="106" t="s">
        <v>27</v>
      </c>
      <c r="F36" s="64">
        <v>324800.0</v>
      </c>
      <c r="G36" s="64">
        <v>5600.0</v>
      </c>
      <c r="H36" s="64">
        <v>0.0</v>
      </c>
      <c r="I36" s="52"/>
    </row>
    <row r="37" ht="22.5" customHeight="1">
      <c r="A37" s="64">
        <v>21.0</v>
      </c>
      <c r="B37" s="64" t="s">
        <v>160</v>
      </c>
      <c r="C37" s="64">
        <v>1700000.0</v>
      </c>
      <c r="D37" s="70">
        <v>45800.0</v>
      </c>
      <c r="E37" s="106" t="s">
        <v>163</v>
      </c>
      <c r="F37" s="64">
        <v>435000.0</v>
      </c>
      <c r="G37" s="83"/>
      <c r="H37" s="64">
        <v>0.0</v>
      </c>
      <c r="I37" s="52"/>
    </row>
    <row r="38" ht="22.5" customHeight="1">
      <c r="A38" s="64"/>
      <c r="B38" s="64"/>
      <c r="C38" s="64"/>
      <c r="D38" s="70">
        <v>45826.0</v>
      </c>
      <c r="E38" s="112" t="s">
        <v>115</v>
      </c>
      <c r="F38" s="64">
        <v>700000.0</v>
      </c>
      <c r="G38" s="83"/>
      <c r="H38" s="64"/>
      <c r="I38" s="52"/>
    </row>
    <row r="39" ht="22.5" customHeight="1">
      <c r="A39" s="64"/>
      <c r="B39" s="64"/>
      <c r="C39" s="64"/>
      <c r="D39" s="70">
        <v>45847.0</v>
      </c>
      <c r="E39" s="113" t="s">
        <v>172</v>
      </c>
      <c r="F39" s="64">
        <v>565000.0</v>
      </c>
      <c r="G39" s="64"/>
      <c r="H39" s="64"/>
      <c r="I39" s="52"/>
    </row>
    <row r="40" ht="22.5" customHeight="1">
      <c r="A40" s="64"/>
      <c r="B40" s="64"/>
      <c r="C40" s="64"/>
      <c r="D40" s="70"/>
      <c r="E40" s="125"/>
      <c r="F40" s="64"/>
      <c r="G40" s="64"/>
      <c r="H40" s="64"/>
      <c r="I40" s="52"/>
    </row>
    <row r="41" ht="22.5" customHeight="1">
      <c r="A41" s="64">
        <v>22.0</v>
      </c>
      <c r="B41" s="64" t="s">
        <v>183</v>
      </c>
      <c r="C41" s="64">
        <v>177000.0</v>
      </c>
      <c r="D41" s="70">
        <v>45815.0</v>
      </c>
      <c r="E41" s="112" t="s">
        <v>27</v>
      </c>
      <c r="F41" s="64">
        <v>162000.0</v>
      </c>
      <c r="G41" s="64">
        <v>15000.0</v>
      </c>
      <c r="H41" s="64">
        <v>0.0</v>
      </c>
      <c r="I41" s="52"/>
    </row>
    <row r="42" ht="22.5" customHeight="1">
      <c r="A42" s="64"/>
      <c r="B42" s="64"/>
      <c r="C42" s="64"/>
      <c r="D42" s="83"/>
      <c r="E42" s="114"/>
      <c r="F42" s="83"/>
      <c r="G42" s="83"/>
      <c r="H42" s="83"/>
      <c r="I42" s="115"/>
    </row>
    <row r="43" ht="22.5" customHeight="1">
      <c r="A43" s="64">
        <v>23.0</v>
      </c>
      <c r="B43" s="64" t="s">
        <v>187</v>
      </c>
      <c r="C43" s="64">
        <v>70210.0</v>
      </c>
      <c r="D43" s="83"/>
      <c r="E43" s="114"/>
      <c r="F43" s="83"/>
      <c r="G43" s="83"/>
      <c r="H43" s="83"/>
      <c r="I43" s="115"/>
    </row>
    <row r="44" ht="22.5" customHeight="1">
      <c r="A44" s="64"/>
      <c r="B44" s="64"/>
      <c r="C44" s="64"/>
      <c r="D44" s="70"/>
      <c r="E44" s="125"/>
      <c r="F44" s="64"/>
      <c r="G44" s="64"/>
      <c r="H44" s="64"/>
      <c r="I44" s="52"/>
    </row>
    <row r="45" ht="22.5" customHeight="1">
      <c r="A45" s="64">
        <v>24.0</v>
      </c>
      <c r="B45" s="64" t="s">
        <v>191</v>
      </c>
      <c r="C45" s="64"/>
      <c r="D45" s="70">
        <v>45814.0</v>
      </c>
      <c r="E45" s="112" t="s">
        <v>27</v>
      </c>
      <c r="F45" s="64">
        <v>450000.0</v>
      </c>
      <c r="G45" s="64">
        <v>0.0</v>
      </c>
      <c r="H45" s="64"/>
      <c r="I45" s="52"/>
    </row>
    <row r="46" ht="22.5" customHeight="1">
      <c r="A46" s="64">
        <v>25.0</v>
      </c>
      <c r="B46" s="64" t="s">
        <v>192</v>
      </c>
      <c r="C46" s="64">
        <v>29500.0</v>
      </c>
      <c r="D46" s="70">
        <v>45854.0</v>
      </c>
      <c r="E46" s="113" t="s">
        <v>27</v>
      </c>
      <c r="F46" s="64">
        <v>29000.0</v>
      </c>
      <c r="G46" s="64">
        <v>500.0</v>
      </c>
      <c r="H46" s="64">
        <v>0.0</v>
      </c>
      <c r="I46" s="52"/>
    </row>
    <row r="47" ht="22.5" customHeight="1">
      <c r="A47" s="64">
        <v>26.0</v>
      </c>
      <c r="B47" s="64" t="s">
        <v>194</v>
      </c>
      <c r="C47" s="64">
        <v>2932300.0</v>
      </c>
      <c r="D47" s="70">
        <v>45828.0</v>
      </c>
      <c r="E47" s="112" t="s">
        <v>195</v>
      </c>
      <c r="F47" s="64">
        <v>1395900.0</v>
      </c>
      <c r="G47" s="64">
        <f>129250+64625+54625</f>
        <v>248500</v>
      </c>
      <c r="H47" s="83">
        <f>C47-F47-F48-G47-F49</f>
        <v>0</v>
      </c>
      <c r="I47" s="52"/>
    </row>
    <row r="48" ht="22.5" customHeight="1">
      <c r="A48" s="64"/>
      <c r="B48" s="64"/>
      <c r="C48" s="64"/>
      <c r="D48" s="70">
        <v>45923.0</v>
      </c>
      <c r="E48" s="127" t="s">
        <v>197</v>
      </c>
      <c r="F48" s="64">
        <v>697950.0</v>
      </c>
      <c r="G48" s="83"/>
      <c r="H48" s="83"/>
      <c r="I48" s="52"/>
    </row>
    <row r="49" ht="22.5" customHeight="1">
      <c r="A49" s="64"/>
      <c r="B49" s="64"/>
      <c r="C49" s="64"/>
      <c r="D49" s="70">
        <v>46063.0</v>
      </c>
      <c r="E49" s="125" t="s">
        <v>200</v>
      </c>
      <c r="F49" s="64">
        <v>589950.0</v>
      </c>
      <c r="G49" s="83"/>
      <c r="H49" s="83"/>
      <c r="I49" s="115"/>
    </row>
    <row r="50" ht="22.5" customHeight="1">
      <c r="A50" s="64"/>
      <c r="B50" s="64"/>
      <c r="C50" s="64"/>
      <c r="D50" s="83"/>
      <c r="E50" s="114"/>
      <c r="F50" s="83"/>
      <c r="G50" s="83"/>
      <c r="H50" s="83"/>
      <c r="I50" s="115"/>
    </row>
    <row r="51" ht="22.5" customHeight="1">
      <c r="A51" s="64">
        <v>27.0</v>
      </c>
      <c r="B51" s="64" t="s">
        <v>201</v>
      </c>
      <c r="C51" s="64">
        <v>309750.0</v>
      </c>
      <c r="D51" s="70">
        <v>45834.0</v>
      </c>
      <c r="E51" s="112" t="s">
        <v>204</v>
      </c>
      <c r="F51" s="64">
        <v>283500.0</v>
      </c>
      <c r="G51" s="64">
        <v>26250.0</v>
      </c>
      <c r="H51" s="83">
        <f>C51-F51-G51</f>
        <v>0</v>
      </c>
      <c r="I51" s="52"/>
    </row>
    <row r="52" ht="22.5" customHeight="1">
      <c r="A52" s="83"/>
      <c r="B52" s="83"/>
      <c r="C52" s="64"/>
      <c r="D52" s="83"/>
      <c r="E52" s="114"/>
      <c r="F52" s="83"/>
      <c r="G52" s="83"/>
      <c r="H52" s="83"/>
      <c r="I52" s="115"/>
    </row>
    <row r="53" ht="22.5" customHeight="1">
      <c r="A53" s="83"/>
      <c r="B53" s="83"/>
      <c r="C53" s="64"/>
      <c r="D53" s="83"/>
      <c r="E53" s="114"/>
      <c r="F53" s="83"/>
      <c r="G53" s="83"/>
      <c r="H53" s="83"/>
      <c r="I53" s="115"/>
    </row>
    <row r="54" ht="22.5" customHeight="1">
      <c r="A54" s="64">
        <v>28.0</v>
      </c>
      <c r="B54" s="64" t="s">
        <v>207</v>
      </c>
      <c r="C54" s="64">
        <v>324500.0</v>
      </c>
      <c r="D54" s="70">
        <v>45880.0</v>
      </c>
      <c r="E54" s="128" t="s">
        <v>27</v>
      </c>
      <c r="F54" s="64">
        <v>319000.0</v>
      </c>
      <c r="G54" s="64">
        <v>5500.0</v>
      </c>
      <c r="H54" s="83">
        <f>C54-F54-G54</f>
        <v>0</v>
      </c>
      <c r="I54" s="52"/>
    </row>
    <row r="55" ht="22.5" customHeight="1">
      <c r="A55" s="64">
        <v>29.0</v>
      </c>
      <c r="B55" s="64" t="s">
        <v>209</v>
      </c>
      <c r="C55" s="64">
        <v>572300.0</v>
      </c>
      <c r="D55" s="70">
        <v>45831.0</v>
      </c>
      <c r="E55" s="112" t="s">
        <v>210</v>
      </c>
      <c r="F55" s="64">
        <v>562600.0</v>
      </c>
      <c r="G55" s="83">
        <f t="shared" ref="G55:G56" si="2">C55-F55</f>
        <v>9700</v>
      </c>
      <c r="H55" s="64">
        <v>0.0</v>
      </c>
      <c r="I55" s="52"/>
    </row>
    <row r="56" ht="22.5" customHeight="1">
      <c r="A56" s="64">
        <v>30.0</v>
      </c>
      <c r="B56" s="64" t="s">
        <v>211</v>
      </c>
      <c r="C56" s="64">
        <f>800000+144000</f>
        <v>944000</v>
      </c>
      <c r="D56" s="70">
        <v>45839.0</v>
      </c>
      <c r="E56" s="113" t="s">
        <v>27</v>
      </c>
      <c r="F56" s="64">
        <v>864000.0</v>
      </c>
      <c r="G56" s="83">
        <f t="shared" si="2"/>
        <v>80000</v>
      </c>
      <c r="H56" s="64">
        <v>0.0</v>
      </c>
      <c r="I56" s="52"/>
    </row>
    <row r="57" ht="22.5" customHeight="1">
      <c r="A57" s="83"/>
      <c r="B57" s="83"/>
      <c r="C57" s="64"/>
      <c r="D57" s="83"/>
      <c r="E57" s="114"/>
      <c r="F57" s="83"/>
      <c r="G57" s="83"/>
      <c r="H57" s="83"/>
      <c r="I57" s="115"/>
    </row>
    <row r="58" ht="22.5" customHeight="1">
      <c r="A58" s="64">
        <v>31.0</v>
      </c>
      <c r="B58" s="64" t="s">
        <v>214</v>
      </c>
      <c r="C58" s="64">
        <v>767000.0</v>
      </c>
      <c r="D58" s="70">
        <v>45895.0</v>
      </c>
      <c r="E58" s="128" t="s">
        <v>27</v>
      </c>
      <c r="F58" s="64">
        <v>754000.0</v>
      </c>
      <c r="G58" s="83">
        <f>C58-F58</f>
        <v>13000</v>
      </c>
      <c r="H58" s="64">
        <v>0.0</v>
      </c>
      <c r="I58" s="52"/>
    </row>
    <row r="59" ht="22.5" customHeight="1">
      <c r="A59" s="64">
        <v>32.0</v>
      </c>
      <c r="B59" s="64" t="s">
        <v>216</v>
      </c>
      <c r="C59" s="64">
        <v>295000.0</v>
      </c>
      <c r="D59" s="70">
        <v>45849.0</v>
      </c>
      <c r="E59" s="113" t="s">
        <v>27</v>
      </c>
      <c r="F59" s="64">
        <v>270000.0</v>
      </c>
      <c r="G59" s="64">
        <v>25000.0</v>
      </c>
      <c r="H59" s="64">
        <v>0.0</v>
      </c>
      <c r="I59" s="52"/>
    </row>
    <row r="60" ht="22.5" customHeight="1">
      <c r="A60" s="64">
        <v>33.0</v>
      </c>
      <c r="B60" s="64" t="s">
        <v>217</v>
      </c>
      <c r="C60" s="64">
        <v>253700.0</v>
      </c>
      <c r="D60" s="70">
        <v>45839.0</v>
      </c>
      <c r="E60" s="113" t="s">
        <v>218</v>
      </c>
      <c r="F60" s="64">
        <v>135000.0</v>
      </c>
      <c r="G60" s="64">
        <v>12500.0</v>
      </c>
      <c r="H60" s="64"/>
      <c r="I60" s="52"/>
    </row>
    <row r="61" ht="22.5" customHeight="1">
      <c r="A61" s="64"/>
      <c r="B61" s="64"/>
      <c r="C61" s="64"/>
      <c r="D61" s="70">
        <v>45841.0</v>
      </c>
      <c r="E61" s="113" t="s">
        <v>221</v>
      </c>
      <c r="F61" s="64">
        <v>97200.0</v>
      </c>
      <c r="G61" s="64">
        <v>9000.0</v>
      </c>
      <c r="H61" s="64"/>
      <c r="I61" s="52"/>
    </row>
    <row r="62" ht="22.5" customHeight="1">
      <c r="A62" s="83"/>
      <c r="B62" s="64" t="s">
        <v>222</v>
      </c>
      <c r="C62" s="64">
        <v>253700.0</v>
      </c>
      <c r="D62" s="70">
        <v>45876.0</v>
      </c>
      <c r="E62" s="128" t="s">
        <v>218</v>
      </c>
      <c r="F62" s="64">
        <v>135000.0</v>
      </c>
      <c r="G62" s="64">
        <v>12500.0</v>
      </c>
      <c r="H62" s="64"/>
      <c r="I62" s="52"/>
    </row>
    <row r="63" ht="22.5" customHeight="1">
      <c r="A63" s="83"/>
      <c r="B63" s="64"/>
      <c r="C63" s="64"/>
      <c r="D63" s="70">
        <v>45876.0</v>
      </c>
      <c r="E63" s="128" t="s">
        <v>221</v>
      </c>
      <c r="F63" s="64">
        <v>97200.0</v>
      </c>
      <c r="G63" s="64">
        <v>9000.0</v>
      </c>
      <c r="H63" s="64"/>
      <c r="I63" s="52"/>
    </row>
    <row r="64" ht="22.5" customHeight="1">
      <c r="A64" s="64"/>
      <c r="B64" s="64" t="s">
        <v>224</v>
      </c>
      <c r="C64" s="64">
        <v>253700.0</v>
      </c>
      <c r="D64" s="70">
        <v>45905.0</v>
      </c>
      <c r="E64" s="127" t="s">
        <v>221</v>
      </c>
      <c r="F64" s="64">
        <v>104400.0</v>
      </c>
      <c r="G64" s="64">
        <v>1800.0</v>
      </c>
      <c r="H64" s="64"/>
      <c r="I64" s="52"/>
    </row>
    <row r="65" ht="22.5" customHeight="1">
      <c r="A65" s="64"/>
      <c r="B65" s="64"/>
      <c r="C65" s="64"/>
      <c r="D65" s="70">
        <v>45909.0</v>
      </c>
      <c r="E65" s="127" t="s">
        <v>226</v>
      </c>
      <c r="F65" s="64">
        <v>100000.0</v>
      </c>
      <c r="G65" s="83"/>
      <c r="H65" s="83"/>
      <c r="I65" s="52"/>
    </row>
    <row r="66" ht="22.5" customHeight="1">
      <c r="A66" s="64"/>
      <c r="B66" s="64"/>
      <c r="C66" s="64"/>
      <c r="D66" s="70">
        <v>45923.0</v>
      </c>
      <c r="E66" s="127" t="s">
        <v>228</v>
      </c>
      <c r="F66" s="64">
        <v>35000.0</v>
      </c>
      <c r="G66" s="64">
        <v>12500.0</v>
      </c>
      <c r="H66" s="83"/>
      <c r="I66" s="52"/>
    </row>
    <row r="67" ht="22.5" customHeight="1">
      <c r="A67" s="83"/>
      <c r="B67" s="64" t="s">
        <v>229</v>
      </c>
      <c r="C67" s="64">
        <v>253700.0</v>
      </c>
      <c r="D67" s="70">
        <v>45937.0</v>
      </c>
      <c r="E67" s="136" t="s">
        <v>218</v>
      </c>
      <c r="F67" s="64">
        <v>135000.0</v>
      </c>
      <c r="G67" s="64">
        <v>12500.0</v>
      </c>
      <c r="H67" s="83"/>
      <c r="I67" s="52"/>
    </row>
    <row r="68" ht="22.5" customHeight="1">
      <c r="A68" s="83"/>
      <c r="B68" s="64"/>
      <c r="C68" s="64"/>
      <c r="D68" s="70">
        <v>45937.0</v>
      </c>
      <c r="E68" s="136" t="s">
        <v>221</v>
      </c>
      <c r="F68" s="64">
        <v>97200.0</v>
      </c>
      <c r="G68" s="64">
        <v>9000.0</v>
      </c>
      <c r="H68" s="83"/>
      <c r="I68" s="52"/>
    </row>
    <row r="69" ht="22.5" customHeight="1">
      <c r="A69" s="83"/>
      <c r="B69" s="64" t="s">
        <v>233</v>
      </c>
      <c r="C69" s="64">
        <v>253700.0</v>
      </c>
      <c r="D69" s="70">
        <v>45966.0</v>
      </c>
      <c r="E69" s="141" t="s">
        <v>218</v>
      </c>
      <c r="F69" s="64">
        <v>135000.0</v>
      </c>
      <c r="G69" s="64">
        <v>12500.0</v>
      </c>
      <c r="H69" s="83"/>
      <c r="I69" s="115"/>
    </row>
    <row r="70" ht="22.5" customHeight="1">
      <c r="A70" s="83"/>
      <c r="B70" s="64"/>
      <c r="C70" s="64"/>
      <c r="D70" s="70">
        <v>45966.0</v>
      </c>
      <c r="E70" s="141" t="s">
        <v>221</v>
      </c>
      <c r="F70" s="64">
        <v>97200.0</v>
      </c>
      <c r="G70" s="64">
        <v>9000.0</v>
      </c>
      <c r="H70" s="83"/>
      <c r="I70" s="115"/>
    </row>
    <row r="71" ht="22.5" customHeight="1">
      <c r="A71" s="83"/>
      <c r="B71" s="64" t="s">
        <v>235</v>
      </c>
      <c r="C71" s="64">
        <v>253700.0</v>
      </c>
      <c r="D71" s="70">
        <v>45993.0</v>
      </c>
      <c r="E71" s="144" t="s">
        <v>218</v>
      </c>
      <c r="F71" s="64">
        <v>145000.0</v>
      </c>
      <c r="G71" s="64">
        <v>2500.0</v>
      </c>
      <c r="H71" s="83"/>
      <c r="I71" s="115"/>
    </row>
    <row r="72" ht="22.5" customHeight="1">
      <c r="A72" s="83"/>
      <c r="B72" s="64"/>
      <c r="C72" s="64"/>
      <c r="D72" s="70">
        <v>45993.0</v>
      </c>
      <c r="E72" s="144" t="s">
        <v>221</v>
      </c>
      <c r="F72" s="64">
        <v>104400.0</v>
      </c>
      <c r="G72" s="64">
        <v>1800.0</v>
      </c>
      <c r="H72" s="83"/>
      <c r="I72" s="115"/>
    </row>
    <row r="73" ht="22.5" customHeight="1">
      <c r="A73" s="83"/>
      <c r="B73" s="64" t="s">
        <v>240</v>
      </c>
      <c r="C73" s="64">
        <v>253700.0</v>
      </c>
      <c r="D73" s="70">
        <v>46030.0</v>
      </c>
      <c r="E73" s="146" t="s">
        <v>218</v>
      </c>
      <c r="F73" s="64">
        <v>104400.0</v>
      </c>
      <c r="G73" s="64">
        <v>1800.0</v>
      </c>
      <c r="H73" s="83"/>
      <c r="I73" s="115"/>
    </row>
    <row r="74" ht="22.5" customHeight="1">
      <c r="A74" s="83"/>
      <c r="B74" s="64"/>
      <c r="C74" s="64"/>
      <c r="D74" s="70">
        <v>46042.0</v>
      </c>
      <c r="E74" s="146" t="s">
        <v>218</v>
      </c>
      <c r="F74" s="64">
        <v>145000.0</v>
      </c>
      <c r="G74" s="64">
        <v>2500.0</v>
      </c>
      <c r="H74" s="83"/>
      <c r="I74" s="115"/>
    </row>
    <row r="75" ht="22.5" customHeight="1">
      <c r="A75" s="83"/>
      <c r="B75" s="64" t="s">
        <v>244</v>
      </c>
      <c r="C75" s="64">
        <v>147500.0</v>
      </c>
      <c r="D75" s="70">
        <v>46064.0</v>
      </c>
      <c r="E75" s="125" t="s">
        <v>221</v>
      </c>
      <c r="F75" s="64">
        <v>145000.0</v>
      </c>
      <c r="G75" s="64">
        <v>2500.0</v>
      </c>
      <c r="H75" s="83"/>
      <c r="I75" s="115"/>
    </row>
    <row r="76" ht="22.5" customHeight="1">
      <c r="A76" s="83"/>
      <c r="B76" s="64" t="s">
        <v>250</v>
      </c>
      <c r="C76" s="64">
        <v>147500.0</v>
      </c>
      <c r="D76" s="70">
        <v>46087.0</v>
      </c>
      <c r="E76" s="125" t="s">
        <v>221</v>
      </c>
      <c r="F76" s="64">
        <v>145100.0</v>
      </c>
      <c r="G76" s="64">
        <v>2500.0</v>
      </c>
      <c r="H76" s="83"/>
      <c r="I76" s="115"/>
    </row>
    <row r="77" ht="22.5" customHeight="1">
      <c r="A77" s="83"/>
      <c r="B77" s="64" t="s">
        <v>251</v>
      </c>
      <c r="C77" s="64">
        <v>147500.0</v>
      </c>
      <c r="D77" s="83"/>
      <c r="E77" s="114"/>
      <c r="F77" s="83"/>
      <c r="G77" s="83"/>
      <c r="H77" s="83"/>
      <c r="I77" s="115"/>
    </row>
    <row r="78" ht="22.5" customHeight="1">
      <c r="A78" s="83"/>
      <c r="B78" s="64" t="s">
        <v>254</v>
      </c>
      <c r="C78" s="64">
        <v>147500.0</v>
      </c>
      <c r="D78" s="83"/>
      <c r="E78" s="114"/>
      <c r="F78" s="83"/>
      <c r="G78" s="83"/>
      <c r="H78" s="83"/>
      <c r="I78" s="115"/>
    </row>
    <row r="79" ht="22.5" customHeight="1">
      <c r="A79" s="83"/>
      <c r="B79" s="64" t="s">
        <v>258</v>
      </c>
      <c r="C79" s="64">
        <v>147500.0</v>
      </c>
      <c r="D79" s="83"/>
      <c r="E79" s="114"/>
      <c r="F79" s="83"/>
      <c r="G79" s="83"/>
      <c r="H79" s="83"/>
      <c r="I79" s="115"/>
    </row>
    <row r="80" ht="22.5" customHeight="1">
      <c r="A80" s="83"/>
      <c r="B80" s="64"/>
      <c r="C80" s="64"/>
      <c r="D80" s="83"/>
      <c r="E80" s="114"/>
      <c r="F80" s="83"/>
      <c r="G80" s="83"/>
      <c r="H80" s="83"/>
      <c r="I80" s="115"/>
    </row>
    <row r="81" ht="22.5" customHeight="1">
      <c r="A81" s="64">
        <v>34.0</v>
      </c>
      <c r="B81" s="64" t="s">
        <v>262</v>
      </c>
      <c r="C81" s="64">
        <v>590000.0</v>
      </c>
      <c r="D81" s="70">
        <v>45847.0</v>
      </c>
      <c r="E81" s="113" t="s">
        <v>80</v>
      </c>
      <c r="F81" s="64">
        <v>290000.0</v>
      </c>
      <c r="G81" s="64">
        <f>C81-F81-F82</f>
        <v>10000</v>
      </c>
      <c r="H81" s="64"/>
      <c r="I81" s="52"/>
    </row>
    <row r="82" ht="22.5" customHeight="1">
      <c r="A82" s="64"/>
      <c r="B82" s="64"/>
      <c r="C82" s="64"/>
      <c r="D82" s="70">
        <v>45975.0</v>
      </c>
      <c r="E82" s="141" t="s">
        <v>263</v>
      </c>
      <c r="F82" s="64">
        <v>290000.0</v>
      </c>
      <c r="G82" s="64"/>
      <c r="H82" s="64"/>
      <c r="I82" s="52"/>
    </row>
    <row r="83" ht="22.5" customHeight="1">
      <c r="A83" s="64"/>
      <c r="B83" s="64"/>
      <c r="C83" s="64"/>
      <c r="D83" s="164"/>
      <c r="E83" s="125"/>
      <c r="F83" s="64"/>
      <c r="G83" s="64"/>
      <c r="H83" s="83"/>
      <c r="I83" s="115"/>
    </row>
    <row r="84" ht="22.5" customHeight="1">
      <c r="A84" s="64">
        <v>35.0</v>
      </c>
      <c r="B84" s="64" t="s">
        <v>268</v>
      </c>
      <c r="C84" s="64"/>
      <c r="D84" s="70">
        <v>45815.0</v>
      </c>
      <c r="E84" s="112" t="s">
        <v>269</v>
      </c>
      <c r="F84" s="64">
        <v>241525.0</v>
      </c>
      <c r="G84" s="64">
        <v>8475.0</v>
      </c>
      <c r="H84" s="64"/>
      <c r="I84" s="52"/>
    </row>
    <row r="85" ht="22.5" customHeight="1">
      <c r="A85" s="83"/>
      <c r="B85" s="83"/>
      <c r="C85" s="64"/>
      <c r="D85" s="83"/>
      <c r="E85" s="114"/>
      <c r="F85" s="83"/>
      <c r="G85" s="83"/>
      <c r="H85" s="83"/>
      <c r="I85" s="115"/>
    </row>
    <row r="86" ht="22.5" customHeight="1">
      <c r="A86" s="64">
        <v>36.0</v>
      </c>
      <c r="B86" s="64" t="s">
        <v>271</v>
      </c>
      <c r="C86" s="64">
        <v>354000.0</v>
      </c>
      <c r="D86" s="164">
        <v>45993.0</v>
      </c>
      <c r="E86" s="144" t="s">
        <v>273</v>
      </c>
      <c r="F86" s="64">
        <v>348000.0</v>
      </c>
      <c r="G86" s="64">
        <v>6000.0</v>
      </c>
      <c r="H86" s="83"/>
      <c r="I86" s="115"/>
    </row>
    <row r="87" ht="22.5" customHeight="1">
      <c r="A87" s="64">
        <v>37.0</v>
      </c>
      <c r="B87" s="64" t="s">
        <v>274</v>
      </c>
      <c r="C87" s="64">
        <v>637200.0</v>
      </c>
      <c r="D87" s="70">
        <v>45855.0</v>
      </c>
      <c r="E87" s="113" t="s">
        <v>273</v>
      </c>
      <c r="F87" s="64">
        <v>580000.0</v>
      </c>
      <c r="G87" s="64">
        <v>10000.0</v>
      </c>
      <c r="H87" s="64">
        <f>C87-F87-F88-G87-G88</f>
        <v>0</v>
      </c>
      <c r="I87" s="52"/>
    </row>
    <row r="88" ht="22.5" customHeight="1">
      <c r="A88" s="83"/>
      <c r="B88" s="83"/>
      <c r="C88" s="64"/>
      <c r="D88" s="70">
        <v>45887.0</v>
      </c>
      <c r="E88" s="128" t="s">
        <v>276</v>
      </c>
      <c r="F88" s="64">
        <v>46400.0</v>
      </c>
      <c r="G88" s="64">
        <v>800.0</v>
      </c>
      <c r="H88" s="83"/>
      <c r="I88" s="52"/>
    </row>
    <row r="89" ht="22.5" customHeight="1">
      <c r="A89" s="83"/>
      <c r="B89" s="83"/>
      <c r="C89" s="64"/>
      <c r="D89" s="83"/>
      <c r="E89" s="114"/>
      <c r="F89" s="83"/>
      <c r="G89" s="83"/>
      <c r="H89" s="83"/>
      <c r="I89" s="115"/>
    </row>
    <row r="90" ht="22.5" customHeight="1">
      <c r="A90" s="64">
        <v>38.0</v>
      </c>
      <c r="B90" s="64" t="s">
        <v>279</v>
      </c>
      <c r="C90" s="64">
        <v>218300.0</v>
      </c>
      <c r="D90" s="70">
        <v>45848.0</v>
      </c>
      <c r="E90" s="113" t="s">
        <v>280</v>
      </c>
      <c r="F90" s="64">
        <v>214600.0</v>
      </c>
      <c r="G90" s="83">
        <f>C90-F90</f>
        <v>3700</v>
      </c>
      <c r="H90" s="64">
        <f>C90-F90-G90</f>
        <v>0</v>
      </c>
      <c r="I90" s="52"/>
    </row>
    <row r="91" ht="22.5" customHeight="1">
      <c r="A91" s="64">
        <v>39.0</v>
      </c>
      <c r="B91" s="64" t="s">
        <v>282</v>
      </c>
      <c r="C91" s="64">
        <v>367500.0</v>
      </c>
      <c r="D91" s="70">
        <v>45868.0</v>
      </c>
      <c r="E91" s="113" t="s">
        <v>115</v>
      </c>
      <c r="F91" s="64">
        <v>367500.0</v>
      </c>
      <c r="G91" s="83"/>
      <c r="H91" s="83"/>
      <c r="I91" s="52"/>
    </row>
    <row r="92" ht="22.5" customHeight="1">
      <c r="A92" s="64"/>
      <c r="B92" s="64"/>
      <c r="C92" s="64"/>
      <c r="D92" s="70"/>
      <c r="E92" s="113"/>
      <c r="F92" s="64"/>
      <c r="G92" s="83"/>
      <c r="H92" s="83"/>
      <c r="I92" s="52"/>
    </row>
    <row r="93" ht="22.5" customHeight="1">
      <c r="A93" s="64"/>
      <c r="B93" s="64"/>
      <c r="C93" s="64"/>
      <c r="D93" s="70"/>
      <c r="E93" s="113"/>
      <c r="F93" s="64"/>
      <c r="G93" s="83"/>
      <c r="H93" s="83"/>
      <c r="I93" s="52"/>
    </row>
    <row r="94" ht="22.5" customHeight="1">
      <c r="A94" s="83"/>
      <c r="B94" s="83"/>
      <c r="C94" s="64"/>
      <c r="D94" s="83"/>
      <c r="E94" s="114"/>
      <c r="F94" s="83"/>
      <c r="G94" s="83"/>
      <c r="H94" s="83"/>
      <c r="I94" s="115"/>
    </row>
    <row r="95" ht="22.5" customHeight="1">
      <c r="A95" s="64">
        <v>40.0</v>
      </c>
      <c r="B95" s="64" t="s">
        <v>286</v>
      </c>
      <c r="C95" s="64">
        <v>531000.0</v>
      </c>
      <c r="D95" s="70">
        <v>45856.0</v>
      </c>
      <c r="E95" s="113" t="s">
        <v>287</v>
      </c>
      <c r="F95" s="64">
        <v>220500.0</v>
      </c>
      <c r="G95" s="64">
        <v>9000.0</v>
      </c>
      <c r="H95" s="83">
        <f>C95-F95-F96-G96-G95</f>
        <v>81000</v>
      </c>
      <c r="I95" s="52"/>
    </row>
    <row r="96" ht="22.5" customHeight="1">
      <c r="A96" s="64"/>
      <c r="B96" s="64"/>
      <c r="C96" s="64"/>
      <c r="D96" s="70">
        <v>45926.0</v>
      </c>
      <c r="E96" s="127" t="s">
        <v>288</v>
      </c>
      <c r="F96" s="64">
        <v>220500.0</v>
      </c>
      <c r="G96" s="64"/>
      <c r="H96" s="64"/>
      <c r="I96" s="52"/>
    </row>
    <row r="97" ht="22.5" customHeight="1">
      <c r="A97" s="64"/>
      <c r="B97" s="64"/>
      <c r="C97" s="64"/>
      <c r="D97" s="70"/>
      <c r="E97" s="125"/>
      <c r="F97" s="64"/>
      <c r="G97" s="64"/>
      <c r="H97" s="64"/>
      <c r="I97" s="52"/>
    </row>
    <row r="98" ht="22.5" customHeight="1">
      <c r="A98" s="64">
        <v>41.0</v>
      </c>
      <c r="B98" s="64" t="s">
        <v>290</v>
      </c>
      <c r="C98" s="64">
        <v>442500.0</v>
      </c>
      <c r="D98" s="70">
        <v>45890.0</v>
      </c>
      <c r="E98" s="128" t="s">
        <v>291</v>
      </c>
      <c r="F98" s="64">
        <v>435000.0</v>
      </c>
      <c r="G98" s="64">
        <f>C98-F98</f>
        <v>7500</v>
      </c>
      <c r="H98" s="64">
        <f>C98-F98-G98</f>
        <v>0</v>
      </c>
      <c r="I98" s="52"/>
    </row>
    <row r="99" ht="22.5" customHeight="1">
      <c r="A99" s="83"/>
      <c r="B99" s="83"/>
      <c r="C99" s="64"/>
      <c r="D99" s="83"/>
      <c r="E99" s="114"/>
      <c r="F99" s="83"/>
      <c r="G99" s="64"/>
      <c r="H99" s="83"/>
      <c r="I99" s="115"/>
    </row>
    <row r="100" ht="22.5" customHeight="1">
      <c r="A100" s="64">
        <v>42.0</v>
      </c>
      <c r="B100" s="64" t="s">
        <v>292</v>
      </c>
      <c r="C100" s="64">
        <v>295000.0</v>
      </c>
      <c r="D100" s="70">
        <v>45877.0</v>
      </c>
      <c r="E100" s="128" t="s">
        <v>291</v>
      </c>
      <c r="F100" s="64">
        <v>270000.0</v>
      </c>
      <c r="G100" s="83">
        <f>C100-F100</f>
        <v>25000</v>
      </c>
      <c r="H100" s="64">
        <v>0.0</v>
      </c>
      <c r="I100" s="52"/>
    </row>
    <row r="101" ht="22.5" customHeight="1">
      <c r="A101" s="64"/>
      <c r="B101" s="64" t="s">
        <v>294</v>
      </c>
      <c r="C101" s="64">
        <v>295000.0</v>
      </c>
      <c r="D101" s="70">
        <v>45910.0</v>
      </c>
      <c r="E101" s="127" t="s">
        <v>291</v>
      </c>
      <c r="F101" s="64">
        <v>270000.0</v>
      </c>
      <c r="G101" s="64">
        <v>25000.0</v>
      </c>
      <c r="H101" s="64">
        <v>0.0</v>
      </c>
      <c r="I101" s="52"/>
    </row>
    <row r="102" ht="22.5" customHeight="1">
      <c r="A102" s="64"/>
      <c r="B102" s="64" t="s">
        <v>296</v>
      </c>
      <c r="C102" s="64">
        <v>295000.0</v>
      </c>
      <c r="D102" s="164">
        <v>45940.0</v>
      </c>
      <c r="E102" s="136" t="s">
        <v>291</v>
      </c>
      <c r="F102" s="64">
        <v>270000.0</v>
      </c>
      <c r="G102" s="64">
        <v>25000.0</v>
      </c>
      <c r="H102" s="64">
        <v>0.0</v>
      </c>
      <c r="I102" s="52"/>
    </row>
    <row r="103" ht="22.5" customHeight="1">
      <c r="A103" s="64"/>
      <c r="B103" s="64" t="s">
        <v>297</v>
      </c>
      <c r="C103" s="64">
        <v>295000.0</v>
      </c>
      <c r="D103" s="164">
        <v>45981.0</v>
      </c>
      <c r="E103" s="141" t="s">
        <v>291</v>
      </c>
      <c r="F103" s="64">
        <v>270000.0</v>
      </c>
      <c r="G103" s="64">
        <v>25000.0</v>
      </c>
      <c r="H103" s="64">
        <v>0.0</v>
      </c>
      <c r="I103" s="115"/>
    </row>
    <row r="104" ht="22.5" customHeight="1">
      <c r="A104" s="64"/>
      <c r="B104" s="64" t="s">
        <v>300</v>
      </c>
      <c r="C104" s="64">
        <v>295000.0</v>
      </c>
      <c r="D104" s="164">
        <v>46013.0</v>
      </c>
      <c r="E104" s="144" t="s">
        <v>291</v>
      </c>
      <c r="F104" s="64">
        <v>270000.0</v>
      </c>
      <c r="G104" s="64">
        <v>25000.0</v>
      </c>
      <c r="H104" s="64">
        <v>0.0</v>
      </c>
      <c r="I104" s="173"/>
    </row>
    <row r="105" ht="22.5" customHeight="1">
      <c r="A105" s="64"/>
      <c r="B105" s="64"/>
      <c r="C105" s="64"/>
      <c r="D105" s="83"/>
      <c r="E105" s="114"/>
      <c r="F105" s="83"/>
      <c r="G105" s="83"/>
      <c r="H105" s="64"/>
      <c r="I105" s="173"/>
    </row>
    <row r="106" ht="22.5" customHeight="1">
      <c r="A106" s="64">
        <v>43.0</v>
      </c>
      <c r="B106" s="64" t="s">
        <v>303</v>
      </c>
      <c r="C106" s="64">
        <v>5900000.0</v>
      </c>
      <c r="D106" s="70">
        <v>45888.0</v>
      </c>
      <c r="E106" s="128" t="s">
        <v>304</v>
      </c>
      <c r="F106" s="64">
        <v>1620000.0</v>
      </c>
      <c r="G106" s="64">
        <v>150000.0</v>
      </c>
      <c r="H106" s="64">
        <f>C106-F106-F107-F108-G106-G107-G108</f>
        <v>1888000</v>
      </c>
      <c r="I106" s="52"/>
    </row>
    <row r="107" ht="22.5" customHeight="1">
      <c r="A107" s="83"/>
      <c r="B107" s="83"/>
      <c r="C107" s="64"/>
      <c r="D107" s="70">
        <v>45904.0</v>
      </c>
      <c r="E107" s="127" t="s">
        <v>306</v>
      </c>
      <c r="F107" s="64">
        <v>1080000.0</v>
      </c>
      <c r="G107" s="64">
        <v>100000.0</v>
      </c>
      <c r="H107" s="64"/>
      <c r="I107" s="52"/>
    </row>
    <row r="108" ht="22.5" customHeight="1">
      <c r="A108" s="64"/>
      <c r="B108" s="64"/>
      <c r="C108" s="64"/>
      <c r="D108" s="70">
        <v>45985.0</v>
      </c>
      <c r="E108" s="141" t="s">
        <v>308</v>
      </c>
      <c r="F108" s="64">
        <v>972000.0</v>
      </c>
      <c r="G108" s="64">
        <v>90000.0</v>
      </c>
      <c r="H108" s="83"/>
      <c r="I108" s="115"/>
    </row>
    <row r="109" ht="22.5" customHeight="1">
      <c r="A109" s="83"/>
      <c r="B109" s="83"/>
      <c r="C109" s="64"/>
      <c r="D109" s="83"/>
      <c r="E109" s="114"/>
      <c r="F109" s="83"/>
      <c r="G109" s="83"/>
      <c r="H109" s="64"/>
      <c r="I109" s="173"/>
    </row>
    <row r="110" ht="22.5" customHeight="1">
      <c r="A110" s="64">
        <v>44.0</v>
      </c>
      <c r="B110" s="64" t="s">
        <v>310</v>
      </c>
      <c r="C110" s="64">
        <v>531000.0</v>
      </c>
      <c r="D110" s="164">
        <v>45952.0</v>
      </c>
      <c r="E110" s="136" t="s">
        <v>85</v>
      </c>
      <c r="F110" s="64">
        <v>522000.0</v>
      </c>
      <c r="G110" s="83">
        <f t="shared" ref="G110:G111" si="3">C110-F110</f>
        <v>9000</v>
      </c>
      <c r="H110" s="64">
        <v>0.0</v>
      </c>
      <c r="I110" s="115"/>
    </row>
    <row r="111" ht="22.5" customHeight="1">
      <c r="A111" s="64">
        <v>45.0</v>
      </c>
      <c r="B111" s="64" t="s">
        <v>311</v>
      </c>
      <c r="C111" s="64">
        <v>277890.0</v>
      </c>
      <c r="D111" s="164">
        <v>46013.0</v>
      </c>
      <c r="E111" s="144" t="s">
        <v>85</v>
      </c>
      <c r="F111" s="64">
        <v>273180.0</v>
      </c>
      <c r="G111" s="83">
        <f t="shared" si="3"/>
        <v>4710</v>
      </c>
      <c r="H111" s="64">
        <v>0.0</v>
      </c>
      <c r="I111" s="115"/>
    </row>
    <row r="112" ht="22.5" customHeight="1">
      <c r="A112" s="64"/>
      <c r="B112" s="64"/>
      <c r="C112" s="64"/>
      <c r="D112" s="83"/>
      <c r="E112" s="114"/>
      <c r="F112" s="83"/>
      <c r="G112" s="83"/>
      <c r="H112" s="83"/>
      <c r="I112" s="115"/>
    </row>
    <row r="113" ht="22.5" customHeight="1">
      <c r="A113" s="64">
        <v>46.0</v>
      </c>
      <c r="B113" s="64" t="s">
        <v>313</v>
      </c>
      <c r="C113" s="64">
        <v>94400.0</v>
      </c>
      <c r="D113" s="70">
        <v>45897.0</v>
      </c>
      <c r="E113" s="128" t="s">
        <v>27</v>
      </c>
      <c r="F113" s="64">
        <v>86400.0</v>
      </c>
      <c r="G113" s="64">
        <v>8000.0</v>
      </c>
      <c r="H113" s="64">
        <v>0.0</v>
      </c>
      <c r="I113" s="52"/>
    </row>
    <row r="114" ht="22.5" customHeight="1">
      <c r="A114" s="64">
        <v>47.0</v>
      </c>
      <c r="B114" s="64" t="s">
        <v>314</v>
      </c>
      <c r="C114" s="64">
        <v>684400.0</v>
      </c>
      <c r="D114" s="70">
        <v>45918.0</v>
      </c>
      <c r="E114" s="127" t="s">
        <v>27</v>
      </c>
      <c r="F114" s="64">
        <v>672800.0</v>
      </c>
      <c r="G114" s="83">
        <f>C114-F114</f>
        <v>11600</v>
      </c>
      <c r="H114" s="64">
        <v>0.0</v>
      </c>
      <c r="I114" s="52"/>
    </row>
    <row r="115" ht="22.5" customHeight="1">
      <c r="A115" s="64"/>
      <c r="B115" s="83"/>
      <c r="C115" s="64"/>
      <c r="D115" s="83"/>
      <c r="E115" s="114"/>
      <c r="F115" s="83"/>
      <c r="G115" s="83"/>
      <c r="H115" s="83"/>
      <c r="I115" s="115"/>
    </row>
    <row r="116" ht="22.5" customHeight="1">
      <c r="A116" s="64">
        <v>48.0</v>
      </c>
      <c r="B116" s="64" t="s">
        <v>315</v>
      </c>
      <c r="C116" s="64">
        <v>826000.0</v>
      </c>
      <c r="D116" s="70">
        <v>45904.0</v>
      </c>
      <c r="E116" s="127" t="s">
        <v>287</v>
      </c>
      <c r="F116" s="64">
        <v>373410.0</v>
      </c>
      <c r="G116" s="64">
        <v>0.0</v>
      </c>
      <c r="H116" s="83"/>
      <c r="I116" s="52"/>
    </row>
    <row r="117" ht="22.5" customHeight="1">
      <c r="A117" s="64"/>
      <c r="B117" s="64"/>
      <c r="C117" s="64"/>
      <c r="D117" s="70">
        <v>45968.0</v>
      </c>
      <c r="E117" s="141" t="s">
        <v>288</v>
      </c>
      <c r="F117" s="64">
        <v>375863.0</v>
      </c>
      <c r="G117" s="64">
        <v>0.0</v>
      </c>
      <c r="H117" s="83"/>
      <c r="I117" s="52"/>
    </row>
    <row r="118" ht="22.5" customHeight="1">
      <c r="A118" s="64"/>
      <c r="B118" s="64"/>
      <c r="C118" s="64"/>
      <c r="D118" s="70"/>
      <c r="E118" s="125"/>
      <c r="F118" s="64"/>
      <c r="G118" s="64"/>
      <c r="H118" s="83"/>
      <c r="I118" s="52"/>
    </row>
    <row r="119" ht="22.5" customHeight="1">
      <c r="A119" s="64">
        <v>49.0</v>
      </c>
      <c r="B119" s="64" t="s">
        <v>320</v>
      </c>
      <c r="C119" s="64">
        <v>177000.0</v>
      </c>
      <c r="D119" s="164">
        <v>45971.0</v>
      </c>
      <c r="E119" s="141" t="s">
        <v>27</v>
      </c>
      <c r="F119" s="64">
        <v>174000.0</v>
      </c>
      <c r="G119" s="64">
        <v>3000.0</v>
      </c>
      <c r="H119" s="83"/>
      <c r="I119" s="115"/>
    </row>
    <row r="120" ht="22.5" customHeight="1">
      <c r="A120" s="64"/>
      <c r="B120" s="83"/>
      <c r="C120" s="64"/>
      <c r="D120" s="83"/>
      <c r="E120" s="114"/>
      <c r="F120" s="64"/>
      <c r="G120" s="83"/>
      <c r="H120" s="83"/>
      <c r="I120" s="115"/>
    </row>
    <row r="121" ht="22.5" customHeight="1">
      <c r="A121" s="64">
        <v>50.0</v>
      </c>
      <c r="B121" s="64" t="s">
        <v>322</v>
      </c>
      <c r="C121" s="64">
        <v>501500.0</v>
      </c>
      <c r="D121" s="164">
        <v>45960.0</v>
      </c>
      <c r="E121" s="136" t="s">
        <v>85</v>
      </c>
      <c r="F121" s="64">
        <v>459000.0</v>
      </c>
      <c r="G121" s="83">
        <f>C121-F121</f>
        <v>42500</v>
      </c>
      <c r="H121" s="83"/>
      <c r="I121" s="115"/>
    </row>
    <row r="122" ht="22.5" customHeight="1">
      <c r="A122" s="83"/>
      <c r="B122" s="83"/>
      <c r="C122" s="64"/>
      <c r="D122" s="164"/>
      <c r="E122" s="125"/>
      <c r="F122" s="64"/>
      <c r="G122" s="83"/>
      <c r="H122" s="83"/>
      <c r="I122" s="115"/>
    </row>
    <row r="123" ht="22.5" customHeight="1">
      <c r="A123" s="83"/>
      <c r="B123" s="64" t="s">
        <v>325</v>
      </c>
      <c r="C123" s="64">
        <v>501500.0</v>
      </c>
      <c r="D123" s="164">
        <v>45989.0</v>
      </c>
      <c r="E123" s="141" t="s">
        <v>85</v>
      </c>
      <c r="F123" s="64">
        <v>459000.0</v>
      </c>
      <c r="G123" s="83">
        <f t="shared" ref="G123:G126" si="4">C123-F123</f>
        <v>42500</v>
      </c>
      <c r="H123" s="83"/>
      <c r="I123" s="115"/>
    </row>
    <row r="124" ht="22.5" customHeight="1">
      <c r="A124" s="83"/>
      <c r="B124" s="64" t="s">
        <v>326</v>
      </c>
      <c r="C124" s="64">
        <v>501500.0</v>
      </c>
      <c r="D124" s="164">
        <v>46022.0</v>
      </c>
      <c r="E124" s="144" t="s">
        <v>27</v>
      </c>
      <c r="F124" s="64">
        <v>459000.0</v>
      </c>
      <c r="G124" s="83">
        <f t="shared" si="4"/>
        <v>42500</v>
      </c>
      <c r="H124" s="83"/>
      <c r="I124" s="115"/>
    </row>
    <row r="125" ht="22.5" customHeight="1">
      <c r="A125" s="83"/>
      <c r="B125" s="64" t="s">
        <v>329</v>
      </c>
      <c r="C125" s="64">
        <v>501500.0</v>
      </c>
      <c r="D125" s="70">
        <v>46059.0</v>
      </c>
      <c r="E125" s="125" t="s">
        <v>27</v>
      </c>
      <c r="F125" s="64">
        <v>459000.0</v>
      </c>
      <c r="G125" s="83">
        <f t="shared" si="4"/>
        <v>42500</v>
      </c>
      <c r="H125" s="83"/>
      <c r="I125" s="115"/>
    </row>
    <row r="126" ht="22.5" customHeight="1">
      <c r="A126" s="83"/>
      <c r="B126" s="64" t="s">
        <v>330</v>
      </c>
      <c r="C126" s="64">
        <v>501500.0</v>
      </c>
      <c r="D126" s="70">
        <v>46086.0</v>
      </c>
      <c r="E126" s="125" t="s">
        <v>27</v>
      </c>
      <c r="F126" s="64">
        <v>459000.0</v>
      </c>
      <c r="G126" s="83">
        <f t="shared" si="4"/>
        <v>42500</v>
      </c>
      <c r="H126" s="83"/>
      <c r="I126" s="115"/>
    </row>
    <row r="127" ht="22.5" customHeight="1">
      <c r="A127" s="83"/>
      <c r="B127" s="64"/>
      <c r="C127" s="64"/>
      <c r="D127" s="83"/>
      <c r="E127" s="114"/>
      <c r="F127" s="64"/>
      <c r="G127" s="83"/>
      <c r="H127" s="83"/>
      <c r="I127" s="115"/>
    </row>
    <row r="128" ht="22.5" customHeight="1">
      <c r="A128" s="83"/>
      <c r="B128" s="83"/>
      <c r="C128" s="64"/>
      <c r="D128" s="83"/>
      <c r="E128" s="114"/>
      <c r="F128" s="64"/>
      <c r="G128" s="83"/>
      <c r="H128" s="83"/>
      <c r="I128" s="115"/>
    </row>
    <row r="129" ht="22.5" customHeight="1">
      <c r="A129" s="64">
        <v>51.0</v>
      </c>
      <c r="B129" s="64" t="s">
        <v>333</v>
      </c>
      <c r="C129" s="64">
        <v>295000.0</v>
      </c>
      <c r="D129" s="70">
        <v>45931.0</v>
      </c>
      <c r="E129" s="136" t="s">
        <v>27</v>
      </c>
      <c r="F129" s="64">
        <v>290000.0</v>
      </c>
      <c r="G129" s="64">
        <v>5000.0</v>
      </c>
      <c r="H129" s="64">
        <f t="shared" ref="H129:H131" si="5">C129-F129-G129</f>
        <v>0</v>
      </c>
      <c r="I129" s="52"/>
    </row>
    <row r="130" ht="22.5" customHeight="1">
      <c r="A130" s="64"/>
      <c r="B130" s="64"/>
      <c r="C130" s="64"/>
      <c r="D130" s="70"/>
      <c r="E130" s="125"/>
      <c r="F130" s="64"/>
      <c r="G130" s="83">
        <f t="shared" ref="G130:G131" si="6">C130-F130</f>
        <v>0</v>
      </c>
      <c r="H130" s="64">
        <f t="shared" si="5"/>
        <v>0</v>
      </c>
      <c r="I130" s="52"/>
    </row>
    <row r="131" ht="22.5" customHeight="1">
      <c r="A131" s="64">
        <v>52.0</v>
      </c>
      <c r="B131" s="64" t="s">
        <v>334</v>
      </c>
      <c r="C131" s="64">
        <v>265500.0</v>
      </c>
      <c r="D131" s="70">
        <v>45912.0</v>
      </c>
      <c r="E131" s="127" t="s">
        <v>27</v>
      </c>
      <c r="F131" s="64">
        <v>261000.0</v>
      </c>
      <c r="G131" s="83">
        <f t="shared" si="6"/>
        <v>4500</v>
      </c>
      <c r="H131" s="64">
        <f t="shared" si="5"/>
        <v>0</v>
      </c>
      <c r="I131" s="52"/>
    </row>
    <row r="132" ht="22.5" customHeight="1">
      <c r="A132" s="64"/>
      <c r="B132" s="64"/>
      <c r="C132" s="64"/>
      <c r="D132" s="70"/>
      <c r="E132" s="125"/>
      <c r="F132" s="64"/>
      <c r="G132" s="64"/>
      <c r="H132" s="83"/>
      <c r="I132" s="52"/>
    </row>
    <row r="133" ht="22.5" customHeight="1">
      <c r="A133" s="64">
        <v>53.0</v>
      </c>
      <c r="B133" s="64" t="s">
        <v>337</v>
      </c>
      <c r="C133" s="64">
        <v>613600.0</v>
      </c>
      <c r="D133" s="70">
        <v>45915.0</v>
      </c>
      <c r="E133" s="127" t="s">
        <v>338</v>
      </c>
      <c r="F133" s="64">
        <v>343000.0</v>
      </c>
      <c r="G133" s="64">
        <v>10400.0</v>
      </c>
      <c r="H133" s="83">
        <f>C133-F133-F134-G133</f>
        <v>0</v>
      </c>
      <c r="I133" s="52"/>
    </row>
    <row r="134" ht="22.5" customHeight="1">
      <c r="A134" s="64"/>
      <c r="B134" s="64"/>
      <c r="C134" s="64"/>
      <c r="D134" s="70">
        <v>45923.0</v>
      </c>
      <c r="E134" s="127" t="s">
        <v>341</v>
      </c>
      <c r="F134" s="64">
        <v>260200.0</v>
      </c>
      <c r="G134" s="64"/>
      <c r="H134" s="83"/>
      <c r="I134" s="52"/>
    </row>
    <row r="135" ht="22.5" customHeight="1">
      <c r="A135" s="64"/>
      <c r="B135" s="64"/>
      <c r="C135" s="64"/>
      <c r="D135" s="70"/>
      <c r="E135" s="125"/>
      <c r="F135" s="64"/>
      <c r="G135" s="83"/>
      <c r="H135" s="83"/>
      <c r="I135" s="52"/>
    </row>
    <row r="136" ht="22.5" customHeight="1">
      <c r="A136" s="64">
        <v>54.0</v>
      </c>
      <c r="B136" s="64" t="s">
        <v>343</v>
      </c>
      <c r="C136" s="64">
        <v>708000.0</v>
      </c>
      <c r="D136" s="70">
        <v>45927.0</v>
      </c>
      <c r="E136" s="127" t="s">
        <v>287</v>
      </c>
      <c r="F136" s="64">
        <v>348000.0</v>
      </c>
      <c r="G136" s="64">
        <v>12000.0</v>
      </c>
      <c r="H136" s="83">
        <f>C136-F136-F137-G136</f>
        <v>0</v>
      </c>
      <c r="I136" s="52"/>
    </row>
    <row r="137" ht="22.5" customHeight="1">
      <c r="A137" s="64"/>
      <c r="B137" s="64"/>
      <c r="C137" s="64"/>
      <c r="D137" s="164">
        <v>45954.0</v>
      </c>
      <c r="E137" s="136" t="s">
        <v>288</v>
      </c>
      <c r="F137" s="64">
        <v>348000.0</v>
      </c>
      <c r="G137" s="64"/>
      <c r="H137" s="83"/>
      <c r="I137" s="52"/>
    </row>
    <row r="138" ht="22.5" customHeight="1">
      <c r="A138" s="83"/>
      <c r="B138" s="83"/>
      <c r="C138" s="64"/>
      <c r="D138" s="130"/>
      <c r="E138" s="177"/>
      <c r="F138" s="130"/>
      <c r="G138" s="130"/>
      <c r="H138" s="64"/>
      <c r="I138" s="115"/>
    </row>
    <row r="139" ht="22.5" customHeight="1">
      <c r="A139" s="64">
        <v>55.0</v>
      </c>
      <c r="B139" s="64" t="s">
        <v>348</v>
      </c>
      <c r="C139" s="64">
        <v>649000.0</v>
      </c>
      <c r="D139" s="164">
        <v>45960.0</v>
      </c>
      <c r="E139" s="136" t="s">
        <v>27</v>
      </c>
      <c r="F139" s="64">
        <v>643500.0</v>
      </c>
      <c r="G139" s="83">
        <f>C139-F139</f>
        <v>5500</v>
      </c>
      <c r="H139" s="83">
        <f>C139-F139-G139</f>
        <v>0</v>
      </c>
      <c r="I139" s="115"/>
    </row>
    <row r="140" ht="22.5" customHeight="1">
      <c r="A140" s="64"/>
      <c r="B140" s="64"/>
      <c r="C140" s="64"/>
      <c r="D140" s="83"/>
      <c r="E140" s="114"/>
      <c r="F140" s="64"/>
      <c r="G140" s="83"/>
      <c r="H140" s="83"/>
      <c r="I140" s="115"/>
    </row>
    <row r="141" ht="22.5" customHeight="1">
      <c r="A141" s="64">
        <v>56.0</v>
      </c>
      <c r="B141" s="64" t="s">
        <v>350</v>
      </c>
      <c r="C141" s="64">
        <v>259600.0</v>
      </c>
      <c r="D141" s="70">
        <v>45933.0</v>
      </c>
      <c r="E141" s="136" t="s">
        <v>287</v>
      </c>
      <c r="F141" s="64">
        <v>98000.0</v>
      </c>
      <c r="G141" s="64"/>
      <c r="H141" s="83">
        <f>C141-F141-F142-F143-G143</f>
        <v>0</v>
      </c>
      <c r="I141" s="52"/>
    </row>
    <row r="142" ht="22.5" customHeight="1">
      <c r="A142" s="64"/>
      <c r="B142" s="64"/>
      <c r="C142" s="64"/>
      <c r="D142" s="178">
        <v>45967.0</v>
      </c>
      <c r="E142" s="141" t="s">
        <v>352</v>
      </c>
      <c r="F142" s="64">
        <v>23200.0</v>
      </c>
      <c r="G142" s="83"/>
      <c r="H142" s="83"/>
      <c r="I142" s="115"/>
    </row>
    <row r="143" ht="22.5" customHeight="1">
      <c r="A143" s="64"/>
      <c r="B143" s="64"/>
      <c r="C143" s="64"/>
      <c r="D143" s="178">
        <v>45967.0</v>
      </c>
      <c r="E143" s="141" t="s">
        <v>94</v>
      </c>
      <c r="F143" s="64">
        <v>134000.0</v>
      </c>
      <c r="G143" s="64">
        <v>4400.0</v>
      </c>
      <c r="H143" s="83"/>
      <c r="I143" s="115"/>
    </row>
    <row r="144" ht="22.5" customHeight="1">
      <c r="A144" s="64"/>
      <c r="B144" s="64"/>
      <c r="C144" s="64"/>
      <c r="D144" s="178"/>
      <c r="E144" s="125"/>
      <c r="F144" s="64"/>
      <c r="G144" s="64"/>
      <c r="H144" s="83"/>
      <c r="I144" s="115"/>
    </row>
    <row r="145" ht="22.5" customHeight="1">
      <c r="A145" s="64">
        <v>57.0</v>
      </c>
      <c r="B145" s="64" t="s">
        <v>354</v>
      </c>
      <c r="C145" s="64">
        <v>2183000.0</v>
      </c>
      <c r="D145" s="164">
        <v>45980.0</v>
      </c>
      <c r="E145" s="141" t="s">
        <v>195</v>
      </c>
      <c r="F145" s="64">
        <v>999000.0</v>
      </c>
      <c r="G145" s="64">
        <v>185000.0</v>
      </c>
      <c r="H145" s="83">
        <f>C145-F145-F146-G145-G146</f>
        <v>0</v>
      </c>
      <c r="I145" s="115"/>
    </row>
    <row r="146" ht="22.5" customHeight="1">
      <c r="A146" s="64"/>
      <c r="B146" s="64"/>
      <c r="C146" s="64"/>
      <c r="D146" s="70">
        <v>46088.0</v>
      </c>
      <c r="E146" s="125" t="s">
        <v>172</v>
      </c>
      <c r="F146" s="64">
        <v>999000.0</v>
      </c>
      <c r="G146" s="83"/>
      <c r="H146" s="83"/>
      <c r="I146" s="115"/>
    </row>
    <row r="147" ht="22.5" customHeight="1">
      <c r="A147" s="83"/>
      <c r="B147" s="83"/>
      <c r="C147" s="64"/>
      <c r="D147" s="83"/>
      <c r="E147" s="114"/>
      <c r="F147" s="64"/>
      <c r="G147" s="83"/>
      <c r="H147" s="83"/>
      <c r="I147" s="115"/>
    </row>
    <row r="148" ht="22.5" customHeight="1">
      <c r="A148" s="64">
        <v>58.0</v>
      </c>
      <c r="B148" s="64" t="s">
        <v>358</v>
      </c>
      <c r="C148" s="64">
        <v>265500.0</v>
      </c>
      <c r="D148" s="164">
        <v>45940.0</v>
      </c>
      <c r="E148" s="136" t="s">
        <v>85</v>
      </c>
      <c r="F148" s="64">
        <v>261000.0</v>
      </c>
      <c r="G148" s="64">
        <v>4500.0</v>
      </c>
      <c r="H148" s="83">
        <f>C148-F148-G148</f>
        <v>0</v>
      </c>
      <c r="I148" s="52"/>
    </row>
    <row r="149" ht="22.5" customHeight="1">
      <c r="A149" s="64"/>
      <c r="B149" s="64"/>
      <c r="C149" s="64"/>
      <c r="D149" s="83"/>
      <c r="E149" s="114"/>
      <c r="F149" s="64"/>
      <c r="G149" s="83"/>
      <c r="H149" s="83"/>
      <c r="I149" s="115"/>
    </row>
    <row r="150" ht="22.5" customHeight="1">
      <c r="A150" s="64">
        <v>59.0</v>
      </c>
      <c r="B150" s="179" t="s">
        <v>361</v>
      </c>
      <c r="C150" s="179">
        <v>859040.0</v>
      </c>
      <c r="D150" s="83"/>
      <c r="E150" s="114"/>
      <c r="F150" s="64"/>
      <c r="G150" s="83"/>
      <c r="H150" s="83"/>
      <c r="I150" s="115"/>
    </row>
    <row r="151" ht="22.5" customHeight="1">
      <c r="A151" s="83"/>
      <c r="B151" s="83"/>
      <c r="C151" s="64"/>
      <c r="D151" s="83"/>
      <c r="E151" s="114"/>
      <c r="F151" s="64"/>
      <c r="G151" s="83"/>
      <c r="H151" s="83"/>
      <c r="I151" s="115"/>
    </row>
    <row r="152" ht="22.5" customHeight="1">
      <c r="A152" s="83"/>
      <c r="B152" s="83"/>
      <c r="C152" s="64"/>
      <c r="D152" s="83"/>
      <c r="E152" s="114"/>
      <c r="F152" s="64"/>
      <c r="G152" s="83"/>
      <c r="H152" s="83"/>
      <c r="I152" s="115"/>
    </row>
    <row r="153" ht="22.5" customHeight="1">
      <c r="A153" s="64">
        <v>60.0</v>
      </c>
      <c r="B153" s="64" t="s">
        <v>364</v>
      </c>
      <c r="C153" s="64">
        <v>354000.0</v>
      </c>
      <c r="D153" s="164">
        <v>46011.0</v>
      </c>
      <c r="E153" s="144" t="s">
        <v>85</v>
      </c>
      <c r="F153" s="64">
        <v>324000.0</v>
      </c>
      <c r="G153" s="83">
        <f>C153-F153</f>
        <v>30000</v>
      </c>
      <c r="H153" s="83">
        <f>C153-F153-G153</f>
        <v>0</v>
      </c>
      <c r="I153" s="115"/>
    </row>
    <row r="154" ht="22.5" customHeight="1">
      <c r="A154" s="64"/>
      <c r="B154" s="64"/>
      <c r="C154" s="64"/>
      <c r="D154" s="83"/>
      <c r="E154" s="114"/>
      <c r="F154" s="64"/>
      <c r="G154" s="83"/>
      <c r="H154" s="83"/>
      <c r="I154" s="115"/>
    </row>
    <row r="155" ht="22.5" customHeight="1">
      <c r="A155" s="64">
        <v>61.0</v>
      </c>
      <c r="B155" s="64" t="s">
        <v>368</v>
      </c>
      <c r="C155" s="64">
        <v>1534000.0</v>
      </c>
      <c r="D155" s="70">
        <v>45936.0</v>
      </c>
      <c r="E155" s="136" t="s">
        <v>370</v>
      </c>
      <c r="F155" s="64">
        <v>600000.0</v>
      </c>
      <c r="G155" s="83">
        <f>C155-F155-F156-F157</f>
        <v>26000</v>
      </c>
      <c r="H155" s="83">
        <f>C155-F155-F156-F157-G155</f>
        <v>0</v>
      </c>
      <c r="I155" s="52"/>
    </row>
    <row r="156" ht="22.5" customHeight="1">
      <c r="A156" s="64"/>
      <c r="B156" s="64"/>
      <c r="C156" s="64"/>
      <c r="D156" s="164">
        <v>45944.0</v>
      </c>
      <c r="E156" s="136" t="s">
        <v>371</v>
      </c>
      <c r="F156" s="64">
        <v>260000.0</v>
      </c>
      <c r="G156" s="83"/>
      <c r="H156" s="83"/>
      <c r="I156" s="52"/>
    </row>
    <row r="157" ht="22.5" customHeight="1">
      <c r="A157" s="64"/>
      <c r="B157" s="64"/>
      <c r="C157" s="64"/>
      <c r="D157" s="70">
        <v>45968.0</v>
      </c>
      <c r="E157" s="141" t="s">
        <v>374</v>
      </c>
      <c r="F157" s="64">
        <v>648000.0</v>
      </c>
      <c r="G157" s="83"/>
      <c r="H157" s="83"/>
      <c r="I157" s="115"/>
    </row>
    <row r="158" ht="22.5" customHeight="1">
      <c r="A158" s="64"/>
      <c r="B158" s="64"/>
      <c r="C158" s="64"/>
      <c r="D158" s="70"/>
      <c r="E158" s="125"/>
      <c r="F158" s="64"/>
      <c r="G158" s="83"/>
      <c r="H158" s="83"/>
      <c r="I158" s="115"/>
    </row>
    <row r="159" ht="22.5" customHeight="1">
      <c r="A159" s="64">
        <v>62.0</v>
      </c>
      <c r="B159" s="64" t="s">
        <v>375</v>
      </c>
      <c r="C159" s="64">
        <v>112100.0</v>
      </c>
      <c r="D159" s="178">
        <v>45967.0</v>
      </c>
      <c r="E159" s="141" t="s">
        <v>85</v>
      </c>
      <c r="F159" s="64">
        <v>111150.0</v>
      </c>
      <c r="G159" s="83">
        <f>C159-F159</f>
        <v>950</v>
      </c>
      <c r="H159" s="83">
        <f>C159-F159-G159</f>
        <v>0</v>
      </c>
      <c r="I159" s="115"/>
    </row>
    <row r="160" ht="22.5" customHeight="1">
      <c r="A160" s="64"/>
      <c r="B160" s="64"/>
      <c r="C160" s="64"/>
      <c r="D160" s="164"/>
      <c r="E160" s="125"/>
      <c r="F160" s="64"/>
      <c r="G160" s="83"/>
      <c r="H160" s="83"/>
      <c r="I160" s="115"/>
    </row>
    <row r="161" ht="22.5" customHeight="1">
      <c r="A161" s="64">
        <v>65.0</v>
      </c>
      <c r="B161" s="64" t="s">
        <v>378</v>
      </c>
      <c r="C161" s="64">
        <v>1180000.0</v>
      </c>
      <c r="D161" s="164">
        <v>45960.0</v>
      </c>
      <c r="E161" s="136" t="s">
        <v>27</v>
      </c>
      <c r="F161" s="64">
        <v>1147555.0</v>
      </c>
      <c r="G161" s="83">
        <f>C161-F161</f>
        <v>32445</v>
      </c>
      <c r="H161" s="83">
        <f>C161-F161-G161</f>
        <v>0</v>
      </c>
      <c r="I161" s="115"/>
    </row>
    <row r="162" ht="22.5" customHeight="1">
      <c r="A162" s="64"/>
      <c r="B162" s="64"/>
      <c r="C162" s="64"/>
      <c r="D162" s="164"/>
      <c r="E162" s="125"/>
      <c r="F162" s="64"/>
      <c r="G162" s="83"/>
      <c r="H162" s="83"/>
      <c r="I162" s="115"/>
    </row>
    <row r="163" ht="22.5" customHeight="1">
      <c r="A163" s="64">
        <v>63.0</v>
      </c>
      <c r="B163" s="64" t="s">
        <v>381</v>
      </c>
      <c r="C163" s="64">
        <v>106200.0</v>
      </c>
      <c r="D163" s="164">
        <v>45961.0</v>
      </c>
      <c r="E163" s="136" t="s">
        <v>27</v>
      </c>
      <c r="F163" s="64">
        <v>104400.0</v>
      </c>
      <c r="G163" s="83">
        <f>C163-F163</f>
        <v>1800</v>
      </c>
      <c r="H163" s="83">
        <f>C163-F163-G163</f>
        <v>0</v>
      </c>
      <c r="I163" s="115"/>
    </row>
    <row r="164" ht="22.5" customHeight="1">
      <c r="A164" s="64">
        <v>64.0</v>
      </c>
      <c r="B164" s="64" t="s">
        <v>383</v>
      </c>
      <c r="C164" s="64">
        <v>80240.0</v>
      </c>
      <c r="D164" s="83"/>
      <c r="E164" s="114"/>
      <c r="F164" s="64"/>
      <c r="G164" s="83"/>
      <c r="H164" s="83"/>
      <c r="I164" s="115"/>
    </row>
    <row r="165" ht="22.5" customHeight="1">
      <c r="A165" s="64"/>
      <c r="B165" s="64"/>
      <c r="C165" s="64"/>
      <c r="D165" s="83"/>
      <c r="E165" s="114"/>
      <c r="F165" s="64"/>
      <c r="G165" s="83"/>
      <c r="H165" s="83"/>
      <c r="I165" s="115"/>
    </row>
    <row r="166" ht="22.5" customHeight="1">
      <c r="A166" s="64">
        <v>66.0</v>
      </c>
      <c r="B166" s="64" t="s">
        <v>384</v>
      </c>
      <c r="C166" s="64">
        <v>2023700.0</v>
      </c>
      <c r="D166" s="70">
        <v>45936.0</v>
      </c>
      <c r="E166" s="136" t="s">
        <v>287</v>
      </c>
      <c r="F166" s="64">
        <v>994700.0</v>
      </c>
      <c r="G166" s="64">
        <v>34300.0</v>
      </c>
      <c r="H166" s="83">
        <f>C166-F166-F167-G166</f>
        <v>0</v>
      </c>
      <c r="I166" s="52"/>
    </row>
    <row r="167" ht="22.5" customHeight="1">
      <c r="A167" s="64"/>
      <c r="B167" s="64"/>
      <c r="C167" s="64"/>
      <c r="D167" s="180">
        <v>45966.0</v>
      </c>
      <c r="E167" s="181" t="s">
        <v>385</v>
      </c>
      <c r="F167" s="182">
        <v>994700.0</v>
      </c>
      <c r="G167" s="183"/>
      <c r="H167" s="184"/>
      <c r="I167" s="52"/>
    </row>
    <row r="168" ht="22.5" customHeight="1">
      <c r="A168" s="83"/>
      <c r="B168" s="83"/>
      <c r="C168" s="64"/>
      <c r="D168" s="164"/>
      <c r="E168" s="125"/>
      <c r="F168" s="64"/>
      <c r="G168" s="64"/>
      <c r="H168" s="83"/>
      <c r="I168" s="115"/>
    </row>
    <row r="169" ht="22.5" customHeight="1">
      <c r="A169" s="64">
        <v>67.0</v>
      </c>
      <c r="B169" s="64" t="s">
        <v>386</v>
      </c>
      <c r="C169" s="64">
        <v>619500.0</v>
      </c>
      <c r="D169" s="164">
        <v>45961.0</v>
      </c>
      <c r="E169" s="136" t="s">
        <v>27</v>
      </c>
      <c r="F169" s="64">
        <v>609000.0</v>
      </c>
      <c r="G169" s="64">
        <v>10500.0</v>
      </c>
      <c r="H169" s="83">
        <f>C169-F169-G169</f>
        <v>0</v>
      </c>
      <c r="I169" s="115"/>
    </row>
    <row r="170" ht="22.5" customHeight="1">
      <c r="A170" s="64">
        <v>68.0</v>
      </c>
      <c r="B170" s="64" t="s">
        <v>389</v>
      </c>
      <c r="C170" s="64">
        <v>330400.0</v>
      </c>
      <c r="D170" s="164">
        <v>45986.0</v>
      </c>
      <c r="E170" s="141" t="s">
        <v>195</v>
      </c>
      <c r="F170" s="64">
        <v>165200.0</v>
      </c>
      <c r="G170" s="83">
        <f>C170-F170-F171</f>
        <v>5600</v>
      </c>
      <c r="H170" s="83">
        <f>C170-F170-F171-G170</f>
        <v>0</v>
      </c>
      <c r="I170" s="115"/>
    </row>
    <row r="171" ht="22.5" customHeight="1">
      <c r="A171" s="64"/>
      <c r="B171" s="64"/>
      <c r="C171" s="64"/>
      <c r="D171" s="164">
        <v>46036.0</v>
      </c>
      <c r="E171" s="146" t="s">
        <v>385</v>
      </c>
      <c r="F171" s="64">
        <v>159600.0</v>
      </c>
      <c r="G171" s="83"/>
      <c r="H171" s="83"/>
      <c r="I171" s="115"/>
    </row>
    <row r="172" ht="22.5" customHeight="1">
      <c r="A172" s="64"/>
      <c r="B172" s="64"/>
      <c r="C172" s="64"/>
      <c r="D172" s="164"/>
      <c r="E172" s="114"/>
      <c r="F172" s="64"/>
      <c r="G172" s="83"/>
      <c r="H172" s="83"/>
      <c r="I172" s="115"/>
    </row>
    <row r="173" ht="22.5" customHeight="1">
      <c r="A173" s="64"/>
      <c r="B173" s="64"/>
      <c r="C173" s="64"/>
      <c r="D173" s="83"/>
      <c r="E173" s="114"/>
      <c r="F173" s="64"/>
      <c r="G173" s="83"/>
      <c r="H173" s="83"/>
      <c r="I173" s="115"/>
    </row>
    <row r="174" ht="22.5" customHeight="1">
      <c r="A174" s="64">
        <v>69.0</v>
      </c>
      <c r="B174" s="64" t="s">
        <v>392</v>
      </c>
      <c r="C174" s="64">
        <v>767000.0</v>
      </c>
      <c r="D174" s="164">
        <v>45961.0</v>
      </c>
      <c r="E174" s="136" t="s">
        <v>195</v>
      </c>
      <c r="F174" s="64">
        <v>300000.0</v>
      </c>
      <c r="G174" s="83">
        <f>C174-F174-F175</f>
        <v>13000</v>
      </c>
      <c r="H174" s="83">
        <f>C174-F174-F175-G174</f>
        <v>0</v>
      </c>
      <c r="I174" s="115"/>
      <c r="J174" s="117">
        <f>380000*8%</f>
        <v>30400</v>
      </c>
    </row>
    <row r="175" ht="22.5" customHeight="1">
      <c r="A175" s="64"/>
      <c r="B175" s="64"/>
      <c r="C175" s="64"/>
      <c r="D175" s="70">
        <v>46044.0</v>
      </c>
      <c r="E175" s="146" t="s">
        <v>18</v>
      </c>
      <c r="F175" s="64">
        <v>454000.0</v>
      </c>
      <c r="G175" s="83"/>
      <c r="H175" s="83"/>
      <c r="I175" s="115"/>
    </row>
    <row r="176" ht="22.5" customHeight="1">
      <c r="A176" s="64"/>
      <c r="B176" s="64"/>
      <c r="C176" s="64"/>
      <c r="D176" s="164"/>
      <c r="E176" s="125"/>
      <c r="F176" s="64"/>
      <c r="G176" s="64"/>
      <c r="H176" s="83"/>
      <c r="I176" s="115"/>
    </row>
    <row r="177" ht="22.5" customHeight="1">
      <c r="A177" s="64">
        <v>70.0</v>
      </c>
      <c r="B177" s="64" t="s">
        <v>395</v>
      </c>
      <c r="C177" s="64">
        <v>707410.0</v>
      </c>
      <c r="D177" s="164">
        <v>45987.0</v>
      </c>
      <c r="E177" s="141" t="s">
        <v>27</v>
      </c>
      <c r="F177" s="64">
        <v>701415.0</v>
      </c>
      <c r="G177" s="64">
        <v>5995.0</v>
      </c>
      <c r="H177" s="83">
        <f>C177-F177-G177</f>
        <v>0</v>
      </c>
      <c r="I177" s="115"/>
    </row>
    <row r="178" ht="22.5" customHeight="1">
      <c r="A178" s="83"/>
      <c r="B178" s="83"/>
      <c r="C178" s="64"/>
      <c r="D178" s="83"/>
      <c r="E178" s="114"/>
      <c r="F178" s="64"/>
      <c r="G178" s="83"/>
      <c r="H178" s="83"/>
      <c r="I178" s="115"/>
    </row>
    <row r="179" ht="22.5" customHeight="1">
      <c r="A179" s="64">
        <v>71.0</v>
      </c>
      <c r="B179" s="64" t="s">
        <v>396</v>
      </c>
      <c r="C179" s="64">
        <v>243600.0</v>
      </c>
      <c r="D179" s="164">
        <v>45987.0</v>
      </c>
      <c r="E179" s="141" t="s">
        <v>397</v>
      </c>
      <c r="F179" s="64">
        <v>120000.0</v>
      </c>
      <c r="G179" s="83"/>
      <c r="H179" s="64">
        <v>0.0</v>
      </c>
      <c r="I179" s="115"/>
    </row>
    <row r="180" ht="22.5" customHeight="1">
      <c r="A180" s="83"/>
      <c r="B180" s="83"/>
      <c r="C180" s="64"/>
      <c r="D180" s="70">
        <v>45992.0</v>
      </c>
      <c r="E180" s="144" t="s">
        <v>398</v>
      </c>
      <c r="F180" s="64">
        <v>123600.0</v>
      </c>
      <c r="G180" s="83"/>
      <c r="H180" s="83"/>
      <c r="I180" s="115"/>
    </row>
    <row r="181" ht="22.5" customHeight="1">
      <c r="A181" s="83"/>
      <c r="B181" s="83"/>
      <c r="C181" s="64"/>
      <c r="D181" s="130"/>
      <c r="E181" s="177"/>
      <c r="F181" s="130"/>
      <c r="G181" s="83"/>
      <c r="H181" s="83"/>
      <c r="I181" s="115"/>
    </row>
    <row r="182" ht="22.5" customHeight="1">
      <c r="A182" s="83"/>
      <c r="B182" s="83"/>
      <c r="C182" s="64"/>
      <c r="D182" s="164"/>
      <c r="E182" s="125"/>
      <c r="F182" s="64"/>
      <c r="G182" s="83"/>
      <c r="H182" s="83"/>
      <c r="I182" s="11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64">
        <v>72.0</v>
      </c>
      <c r="B183" s="64" t="s">
        <v>403</v>
      </c>
      <c r="C183" s="64">
        <v>883571.0</v>
      </c>
      <c r="D183" s="164">
        <v>46007.0</v>
      </c>
      <c r="E183" s="144" t="s">
        <v>404</v>
      </c>
      <c r="F183" s="64">
        <v>567000.0</v>
      </c>
      <c r="G183" s="83">
        <f>C183-F183-F184</f>
        <v>74879</v>
      </c>
      <c r="H183" s="64">
        <v>0.0</v>
      </c>
      <c r="I183" s="115"/>
    </row>
    <row r="184" ht="22.5" customHeight="1">
      <c r="A184" s="83"/>
      <c r="B184" s="83"/>
      <c r="C184" s="64"/>
      <c r="D184" s="70">
        <v>46052.0</v>
      </c>
      <c r="E184" s="146" t="s">
        <v>405</v>
      </c>
      <c r="F184" s="64">
        <v>241692.0</v>
      </c>
      <c r="G184" s="83"/>
      <c r="H184" s="83"/>
      <c r="I184" s="115"/>
    </row>
    <row r="185" ht="22.5" customHeight="1">
      <c r="A185" s="83"/>
      <c r="B185" s="83"/>
      <c r="C185" s="64"/>
      <c r="D185" s="70"/>
      <c r="E185" s="114"/>
      <c r="F185" s="64"/>
      <c r="G185" s="83"/>
      <c r="H185" s="83"/>
      <c r="I185" s="115"/>
    </row>
    <row r="186" ht="22.5" customHeight="1">
      <c r="A186" s="185">
        <v>73.0</v>
      </c>
      <c r="B186" s="186" t="s">
        <v>407</v>
      </c>
      <c r="C186" s="185">
        <v>938100.0</v>
      </c>
      <c r="D186" s="187">
        <v>45692.0</v>
      </c>
      <c r="E186" s="188" t="s">
        <v>204</v>
      </c>
      <c r="F186" s="189">
        <v>858600.0</v>
      </c>
      <c r="G186" s="190">
        <f>C186-F186</f>
        <v>79500</v>
      </c>
      <c r="H186" s="189">
        <v>0.0</v>
      </c>
      <c r="I186" s="191"/>
    </row>
    <row r="187" ht="22.5" customHeight="1">
      <c r="A187" s="64"/>
      <c r="B187" s="64"/>
      <c r="C187" s="64"/>
      <c r="D187" s="83"/>
      <c r="E187" s="114"/>
      <c r="F187" s="64"/>
      <c r="G187" s="83"/>
      <c r="H187" s="83"/>
      <c r="I187" s="115"/>
    </row>
    <row r="188" ht="22.5" customHeight="1">
      <c r="A188" s="64">
        <v>74.0</v>
      </c>
      <c r="B188" s="64" t="s">
        <v>410</v>
      </c>
      <c r="C188" s="64">
        <v>885000.0</v>
      </c>
      <c r="D188" s="187">
        <v>45692.0</v>
      </c>
      <c r="E188" s="188" t="s">
        <v>204</v>
      </c>
      <c r="F188" s="189">
        <v>810000.0</v>
      </c>
      <c r="G188" s="190">
        <f>C188-F188</f>
        <v>75000</v>
      </c>
      <c r="H188" s="64">
        <v>0.0</v>
      </c>
      <c r="I188" s="115"/>
    </row>
    <row r="189" ht="22.5" customHeight="1">
      <c r="A189" s="83"/>
      <c r="B189" s="83"/>
      <c r="C189" s="64"/>
      <c r="D189" s="83"/>
      <c r="E189" s="114"/>
      <c r="F189" s="64"/>
      <c r="G189" s="83"/>
      <c r="H189" s="83"/>
      <c r="I189" s="115"/>
    </row>
    <row r="190" ht="22.5" customHeight="1">
      <c r="A190" s="64">
        <v>75.0</v>
      </c>
      <c r="B190" s="64" t="s">
        <v>412</v>
      </c>
      <c r="C190" s="64">
        <v>236000.0</v>
      </c>
      <c r="D190" s="187">
        <v>45692.0</v>
      </c>
      <c r="E190" s="188" t="s">
        <v>204</v>
      </c>
      <c r="F190" s="189">
        <v>216000.0</v>
      </c>
      <c r="G190" s="190">
        <f>C190-F190</f>
        <v>20000</v>
      </c>
      <c r="H190" s="64">
        <v>0.0</v>
      </c>
      <c r="I190" s="115"/>
    </row>
    <row r="191" ht="22.5" customHeight="1">
      <c r="A191" s="64"/>
      <c r="B191" s="83"/>
      <c r="C191" s="64"/>
      <c r="D191" s="83"/>
      <c r="E191" s="114"/>
      <c r="F191" s="64"/>
      <c r="G191" s="83"/>
      <c r="H191" s="83"/>
      <c r="I191" s="115"/>
    </row>
    <row r="192" ht="22.5" customHeight="1">
      <c r="A192" s="64">
        <v>76.0</v>
      </c>
      <c r="B192" s="64" t="s">
        <v>414</v>
      </c>
      <c r="C192" s="64">
        <v>531000.0</v>
      </c>
      <c r="D192" s="70">
        <v>45997.0</v>
      </c>
      <c r="E192" s="144" t="s">
        <v>27</v>
      </c>
      <c r="F192" s="64">
        <v>522000.0</v>
      </c>
      <c r="G192" s="83">
        <f>C192-F192</f>
        <v>9000</v>
      </c>
      <c r="H192" s="83"/>
      <c r="I192" s="115"/>
    </row>
    <row r="193" ht="22.5" customHeight="1">
      <c r="A193" s="64"/>
      <c r="B193" s="64"/>
      <c r="C193" s="64"/>
      <c r="D193" s="83"/>
      <c r="E193" s="114"/>
      <c r="F193" s="64"/>
      <c r="G193" s="83"/>
      <c r="H193" s="83"/>
      <c r="I193" s="115"/>
    </row>
    <row r="194" ht="22.5" customHeight="1">
      <c r="A194" s="64">
        <v>77.0</v>
      </c>
      <c r="B194" s="64" t="s">
        <v>417</v>
      </c>
      <c r="C194" s="64">
        <v>2124000.0</v>
      </c>
      <c r="D194" s="164">
        <v>46009.0</v>
      </c>
      <c r="E194" s="144" t="s">
        <v>80</v>
      </c>
      <c r="F194" s="64">
        <v>972000.0</v>
      </c>
      <c r="G194" s="64">
        <v>180000.0</v>
      </c>
      <c r="H194" s="83">
        <f>C194-F194-F195-F196-G194</f>
        <v>357000</v>
      </c>
      <c r="I194" s="115"/>
    </row>
    <row r="195" ht="22.5" customHeight="1">
      <c r="A195" s="64"/>
      <c r="B195" s="64"/>
      <c r="C195" s="64"/>
      <c r="E195" s="192" t="s">
        <v>420</v>
      </c>
      <c r="F195" s="55">
        <v>15000.0</v>
      </c>
      <c r="G195" s="83"/>
      <c r="H195" s="83"/>
      <c r="I195" s="115"/>
    </row>
    <row r="196" ht="22.5" customHeight="1">
      <c r="A196" s="130"/>
      <c r="B196" s="130"/>
      <c r="C196" s="130"/>
      <c r="D196" s="70">
        <v>46071.0</v>
      </c>
      <c r="E196" s="125" t="s">
        <v>421</v>
      </c>
      <c r="F196" s="64">
        <v>600000.0</v>
      </c>
      <c r="G196" s="83"/>
      <c r="H196" s="64"/>
      <c r="I196" s="115"/>
      <c r="K196" s="117">
        <f>C197/118%</f>
        <v>900000</v>
      </c>
    </row>
    <row r="197" ht="22.5" customHeight="1">
      <c r="A197" s="64">
        <v>78.0</v>
      </c>
      <c r="B197" s="64" t="s">
        <v>422</v>
      </c>
      <c r="C197" s="64">
        <v>1062000.0</v>
      </c>
      <c r="D197" s="70">
        <v>46074.0</v>
      </c>
      <c r="E197" s="125" t="s">
        <v>423</v>
      </c>
      <c r="F197" s="64">
        <v>500000.0</v>
      </c>
      <c r="G197" s="64">
        <v>90000.0</v>
      </c>
      <c r="H197" s="83">
        <f>C197-F197</f>
        <v>562000</v>
      </c>
      <c r="I197" s="115"/>
    </row>
    <row r="198" ht="22.5" customHeight="1">
      <c r="A198" s="64"/>
      <c r="B198" s="83"/>
      <c r="C198" s="64"/>
      <c r="D198" s="83"/>
      <c r="E198" s="114"/>
      <c r="F198" s="64"/>
      <c r="G198" s="83"/>
      <c r="H198" s="83"/>
      <c r="I198" s="115"/>
    </row>
    <row r="199" ht="22.5" customHeight="1">
      <c r="A199" s="64">
        <v>79.0</v>
      </c>
      <c r="B199" s="64" t="s">
        <v>424</v>
      </c>
      <c r="C199" s="64">
        <v>6342500.0</v>
      </c>
      <c r="D199" s="164">
        <v>46011.0</v>
      </c>
      <c r="E199" s="144" t="s">
        <v>425</v>
      </c>
      <c r="F199" s="64">
        <v>3000000.0</v>
      </c>
      <c r="G199" s="64">
        <v>107500.0</v>
      </c>
      <c r="H199" s="64">
        <f>C199-F199-F200-F201-F202-G199</f>
        <v>0</v>
      </c>
      <c r="I199" s="115"/>
    </row>
    <row r="200" ht="22.5" customHeight="1">
      <c r="A200" s="83"/>
      <c r="B200" s="83"/>
      <c r="C200" s="64"/>
      <c r="D200" s="70">
        <v>46028.0</v>
      </c>
      <c r="E200" s="146" t="s">
        <v>263</v>
      </c>
      <c r="F200" s="64">
        <f>935000</f>
        <v>935000</v>
      </c>
      <c r="G200" s="83"/>
      <c r="H200" s="83"/>
      <c r="I200" s="115"/>
    </row>
    <row r="201" ht="22.5" customHeight="1">
      <c r="A201" s="83"/>
      <c r="B201" s="83"/>
      <c r="C201" s="64"/>
      <c r="D201" s="193">
        <v>46038.0</v>
      </c>
      <c r="E201" s="146" t="s">
        <v>428</v>
      </c>
      <c r="F201" s="64">
        <v>1000000.0</v>
      </c>
      <c r="G201" s="83"/>
      <c r="H201" s="83"/>
      <c r="I201" s="115"/>
    </row>
    <row r="202" ht="22.5" customHeight="1">
      <c r="A202" s="64"/>
      <c r="B202" s="64"/>
      <c r="C202" s="64"/>
      <c r="D202" s="70">
        <v>46044.0</v>
      </c>
      <c r="E202" s="146" t="s">
        <v>430</v>
      </c>
      <c r="F202" s="64">
        <v>1300000.0</v>
      </c>
      <c r="G202" s="83"/>
      <c r="H202" s="83"/>
      <c r="I202" s="115"/>
    </row>
    <row r="203" ht="22.5" customHeight="1">
      <c r="A203" s="64"/>
      <c r="B203" s="64"/>
      <c r="C203" s="64"/>
      <c r="D203" s="83"/>
      <c r="E203" s="114"/>
      <c r="F203" s="64"/>
      <c r="G203" s="83"/>
      <c r="H203" s="83"/>
      <c r="I203" s="115"/>
    </row>
    <row r="204" ht="22.5" customHeight="1">
      <c r="A204" s="64">
        <v>80.0</v>
      </c>
      <c r="B204" s="64" t="s">
        <v>431</v>
      </c>
      <c r="C204" s="64">
        <v>1014800.0</v>
      </c>
      <c r="D204" s="83"/>
      <c r="E204" s="114"/>
      <c r="F204" s="64"/>
      <c r="G204" s="83"/>
      <c r="H204" s="64">
        <f>C204-G204</f>
        <v>1014800</v>
      </c>
      <c r="I204" s="115"/>
    </row>
    <row r="205" ht="22.5" customHeight="1">
      <c r="A205" s="83"/>
      <c r="B205" s="83"/>
      <c r="C205" s="64"/>
      <c r="D205" s="83"/>
      <c r="E205" s="114"/>
      <c r="F205" s="64"/>
      <c r="G205" s="83"/>
      <c r="H205" s="83"/>
      <c r="I205" s="115"/>
    </row>
    <row r="206" ht="22.5" customHeight="1">
      <c r="A206" s="64">
        <v>81.0</v>
      </c>
      <c r="B206" s="64" t="s">
        <v>434</v>
      </c>
      <c r="C206" s="64">
        <v>531000.0</v>
      </c>
      <c r="D206" s="164">
        <v>46018.0</v>
      </c>
      <c r="E206" s="144" t="s">
        <v>27</v>
      </c>
      <c r="F206" s="64">
        <v>486000.0</v>
      </c>
      <c r="G206" s="64">
        <v>45000.0</v>
      </c>
      <c r="H206" s="83"/>
      <c r="I206" s="115"/>
    </row>
    <row r="207" ht="22.5" customHeight="1">
      <c r="A207" s="64">
        <v>82.0</v>
      </c>
      <c r="B207" s="64" t="s">
        <v>437</v>
      </c>
      <c r="C207" s="64">
        <v>1180000.0</v>
      </c>
      <c r="D207" s="70">
        <v>46046.0</v>
      </c>
      <c r="E207" s="146" t="s">
        <v>80</v>
      </c>
      <c r="F207" s="64">
        <v>580000.0</v>
      </c>
      <c r="G207" s="64">
        <v>10000.0</v>
      </c>
      <c r="H207" s="83">
        <f>C207-F207-F208-G207-G208</f>
        <v>0</v>
      </c>
      <c r="I207" s="115"/>
    </row>
    <row r="208" ht="22.5" customHeight="1">
      <c r="A208" s="83"/>
      <c r="B208" s="83"/>
      <c r="C208" s="64"/>
      <c r="D208" s="70">
        <v>46087.0</v>
      </c>
      <c r="E208" s="125" t="s">
        <v>172</v>
      </c>
      <c r="F208" s="64">
        <v>580000.0</v>
      </c>
      <c r="G208" s="64">
        <v>10000.0</v>
      </c>
      <c r="H208" s="83"/>
      <c r="I208" s="115"/>
    </row>
    <row r="209" ht="22.5" customHeight="1">
      <c r="A209" s="64">
        <v>83.0</v>
      </c>
      <c r="B209" s="64" t="s">
        <v>439</v>
      </c>
      <c r="C209" s="64">
        <v>1180000.0</v>
      </c>
      <c r="D209" s="70">
        <v>46100.0</v>
      </c>
      <c r="E209" s="125" t="s">
        <v>440</v>
      </c>
      <c r="F209" s="64">
        <v>980000.0</v>
      </c>
      <c r="G209" s="64">
        <v>20000.0</v>
      </c>
      <c r="H209" s="64">
        <f>C209-F209-G209</f>
        <v>180000</v>
      </c>
      <c r="I209" s="115"/>
    </row>
    <row r="210" ht="22.5" customHeight="1">
      <c r="A210" s="64"/>
      <c r="B210" s="64"/>
      <c r="C210" s="64"/>
      <c r="D210" s="83"/>
      <c r="E210" s="114"/>
      <c r="F210" s="64"/>
      <c r="G210" s="83"/>
      <c r="H210" s="64">
        <f>C210-G210</f>
        <v>0</v>
      </c>
      <c r="I210" s="115"/>
    </row>
    <row r="211" ht="22.5" customHeight="1">
      <c r="A211" s="83"/>
      <c r="B211" s="83"/>
      <c r="C211" s="64"/>
      <c r="D211" s="83"/>
      <c r="E211" s="114"/>
      <c r="F211" s="64"/>
      <c r="G211" s="83"/>
      <c r="H211" s="83"/>
      <c r="I211" s="115"/>
    </row>
    <row r="212" ht="22.5" customHeight="1">
      <c r="A212" s="64">
        <v>84.0</v>
      </c>
      <c r="B212" s="64" t="s">
        <v>442</v>
      </c>
      <c r="C212" s="64">
        <v>82600.0</v>
      </c>
      <c r="D212" s="70">
        <v>46097.0</v>
      </c>
      <c r="E212" s="125" t="s">
        <v>27</v>
      </c>
      <c r="F212" s="64">
        <v>81200.0</v>
      </c>
      <c r="G212" s="64">
        <v>1400.0</v>
      </c>
      <c r="H212" s="64">
        <f>C212-F212-G212</f>
        <v>0</v>
      </c>
      <c r="I212" s="115"/>
    </row>
    <row r="213" ht="22.5" customHeight="1">
      <c r="A213" s="83"/>
      <c r="B213" s="83"/>
      <c r="C213" s="64"/>
      <c r="D213" s="83"/>
      <c r="E213" s="114"/>
      <c r="F213" s="64"/>
      <c r="G213" s="83"/>
      <c r="H213" s="83"/>
      <c r="I213" s="115"/>
    </row>
    <row r="214" ht="22.5" customHeight="1">
      <c r="A214" s="64">
        <v>85.0</v>
      </c>
      <c r="B214" s="64" t="s">
        <v>444</v>
      </c>
      <c r="C214" s="64">
        <v>118000.0</v>
      </c>
      <c r="D214" s="70">
        <v>46078.0</v>
      </c>
      <c r="E214" s="125" t="s">
        <v>27</v>
      </c>
      <c r="F214" s="64">
        <v>116000.0</v>
      </c>
      <c r="G214" s="64">
        <v>2000.0</v>
      </c>
      <c r="H214" s="64">
        <f>C214-F214-G214</f>
        <v>0</v>
      </c>
      <c r="I214" s="115"/>
    </row>
    <row r="215" ht="22.5" customHeight="1">
      <c r="A215" s="83"/>
      <c r="B215" s="83"/>
      <c r="C215" s="64"/>
      <c r="D215" s="83"/>
      <c r="E215" s="114"/>
      <c r="F215" s="64"/>
      <c r="G215" s="83"/>
      <c r="H215" s="83"/>
      <c r="I215" s="115"/>
    </row>
    <row r="216" ht="22.5" customHeight="1">
      <c r="A216" s="64">
        <v>86.0</v>
      </c>
      <c r="B216" s="64" t="s">
        <v>446</v>
      </c>
      <c r="C216" s="64">
        <v>2709870.0</v>
      </c>
      <c r="D216" s="70">
        <v>46097.0</v>
      </c>
      <c r="E216" s="125" t="s">
        <v>447</v>
      </c>
      <c r="F216" s="64">
        <v>2250570.0</v>
      </c>
      <c r="G216" s="64">
        <v>45930.0</v>
      </c>
      <c r="H216" s="83">
        <f>C216-F216-G216</f>
        <v>413370</v>
      </c>
      <c r="I216" s="115"/>
    </row>
    <row r="217" ht="22.5" customHeight="1">
      <c r="A217" s="83"/>
      <c r="B217" s="83"/>
      <c r="C217" s="64"/>
      <c r="D217" s="83"/>
      <c r="E217" s="114"/>
      <c r="F217" s="64"/>
      <c r="G217" s="83"/>
      <c r="H217" s="83"/>
      <c r="I217" s="115"/>
    </row>
    <row r="218" ht="22.5" customHeight="1">
      <c r="A218" s="64">
        <v>87.0</v>
      </c>
      <c r="B218" s="64" t="s">
        <v>448</v>
      </c>
      <c r="C218" s="64">
        <f>2360000+118000</f>
        <v>2478000</v>
      </c>
      <c r="D218" s="70">
        <v>46055.0</v>
      </c>
      <c r="E218" s="125" t="s">
        <v>195</v>
      </c>
      <c r="F218" s="64">
        <v>1000000.0</v>
      </c>
      <c r="G218" s="64">
        <f>200000+10000</f>
        <v>210000</v>
      </c>
      <c r="H218" s="83">
        <f>C218-F218-F219-F220-F221-F222-G218</f>
        <v>0</v>
      </c>
      <c r="I218" s="52"/>
    </row>
    <row r="219" ht="22.5" customHeight="1">
      <c r="A219" s="64"/>
      <c r="B219" s="64"/>
      <c r="C219" s="64"/>
      <c r="D219" s="70">
        <v>46056.0</v>
      </c>
      <c r="E219" s="125" t="s">
        <v>452</v>
      </c>
      <c r="F219" s="64">
        <v>200000.0</v>
      </c>
      <c r="G219" s="83"/>
      <c r="H219" s="83"/>
      <c r="I219" s="115"/>
    </row>
    <row r="220" ht="22.5" customHeight="1">
      <c r="A220" s="64"/>
      <c r="B220" s="64"/>
      <c r="C220" s="64"/>
      <c r="D220" s="70">
        <v>46056.0</v>
      </c>
      <c r="E220" s="125" t="s">
        <v>452</v>
      </c>
      <c r="F220" s="64">
        <v>312000.0</v>
      </c>
      <c r="G220" s="64"/>
      <c r="H220" s="83"/>
      <c r="I220" s="115"/>
    </row>
    <row r="221" ht="22.5" customHeight="1">
      <c r="A221" s="83"/>
      <c r="B221" s="83"/>
      <c r="C221" s="64"/>
      <c r="D221" s="70">
        <v>46071.0</v>
      </c>
      <c r="E221" s="125" t="s">
        <v>453</v>
      </c>
      <c r="F221" s="64">
        <v>648000.0</v>
      </c>
      <c r="G221" s="83"/>
      <c r="H221" s="83"/>
      <c r="I221" s="115"/>
    </row>
    <row r="222" ht="22.5" customHeight="1">
      <c r="A222" s="83"/>
      <c r="B222" s="83"/>
      <c r="C222" s="64"/>
      <c r="D222" s="70">
        <v>46094.0</v>
      </c>
      <c r="E222" s="125" t="s">
        <v>453</v>
      </c>
      <c r="F222" s="64">
        <v>108000.0</v>
      </c>
      <c r="G222" s="64"/>
      <c r="H222" s="83"/>
      <c r="I222" s="115"/>
    </row>
    <row r="223" ht="22.5" customHeight="1">
      <c r="A223" s="64">
        <v>88.0</v>
      </c>
      <c r="B223" s="64" t="s">
        <v>456</v>
      </c>
      <c r="C223" s="64">
        <v>41300.0</v>
      </c>
      <c r="D223" s="164">
        <v>46021.0</v>
      </c>
      <c r="E223" s="144" t="s">
        <v>204</v>
      </c>
      <c r="F223" s="64">
        <v>40600.0</v>
      </c>
      <c r="G223" s="83">
        <f>C223-F223</f>
        <v>700</v>
      </c>
      <c r="H223" s="64">
        <v>0.0</v>
      </c>
      <c r="I223" s="115"/>
    </row>
    <row r="224" ht="22.5" customHeight="1">
      <c r="A224" s="64">
        <v>89.0</v>
      </c>
      <c r="B224" s="64" t="s">
        <v>457</v>
      </c>
      <c r="C224" s="64">
        <v>64900.0</v>
      </c>
      <c r="D224" s="70">
        <v>46097.0</v>
      </c>
      <c r="E224" s="125" t="s">
        <v>27</v>
      </c>
      <c r="F224" s="64">
        <v>63800.0</v>
      </c>
      <c r="G224" s="64">
        <v>1100.0</v>
      </c>
      <c r="H224" s="83">
        <f>C224-F224-G224</f>
        <v>0</v>
      </c>
      <c r="I224" s="115"/>
    </row>
    <row r="225" ht="22.5" customHeight="1">
      <c r="A225" s="64">
        <v>90.0</v>
      </c>
      <c r="B225" s="64" t="s">
        <v>459</v>
      </c>
      <c r="C225" s="64">
        <v>885000.0</v>
      </c>
      <c r="D225" s="70">
        <v>46076.0</v>
      </c>
      <c r="E225" s="125" t="s">
        <v>460</v>
      </c>
      <c r="F225" s="64">
        <v>609000.0</v>
      </c>
      <c r="G225" s="83"/>
      <c r="H225" s="83">
        <f>C225-F225-F226</f>
        <v>276000</v>
      </c>
      <c r="I225" s="115"/>
    </row>
    <row r="226" ht="22.5" customHeight="1">
      <c r="A226" s="64"/>
      <c r="B226" s="64"/>
      <c r="C226" s="64"/>
      <c r="D226" s="70"/>
      <c r="E226" s="125"/>
      <c r="F226" s="64"/>
      <c r="G226" s="83"/>
      <c r="H226" s="83"/>
      <c r="I226" s="115"/>
    </row>
    <row r="227" ht="22.5" customHeight="1">
      <c r="A227" s="64"/>
      <c r="B227" s="64" t="s">
        <v>463</v>
      </c>
      <c r="C227" s="64">
        <v>29500.0</v>
      </c>
      <c r="D227" s="70">
        <v>46104.0</v>
      </c>
      <c r="E227" s="125" t="s">
        <v>204</v>
      </c>
      <c r="F227" s="64">
        <v>203000.0</v>
      </c>
      <c r="G227" s="64">
        <v>3500.0</v>
      </c>
      <c r="H227" s="83">
        <f>C227+C228-F227-G227</f>
        <v>0</v>
      </c>
      <c r="I227" s="115"/>
    </row>
    <row r="228" ht="22.5" customHeight="1">
      <c r="A228" s="64"/>
      <c r="B228" s="64" t="s">
        <v>464</v>
      </c>
      <c r="C228" s="64">
        <v>177000.0</v>
      </c>
      <c r="D228" s="83"/>
      <c r="E228" s="114"/>
      <c r="F228" s="64"/>
      <c r="G228" s="83"/>
      <c r="H228" s="83"/>
      <c r="I228" s="115"/>
    </row>
    <row r="229" ht="22.5" customHeight="1">
      <c r="A229" s="64"/>
      <c r="B229" s="64"/>
      <c r="C229" s="64"/>
      <c r="D229" s="83"/>
      <c r="E229" s="114"/>
      <c r="F229" s="64"/>
      <c r="G229" s="83"/>
      <c r="H229" s="83"/>
      <c r="I229" s="115"/>
    </row>
    <row r="230" ht="22.5" customHeight="1">
      <c r="A230" s="64">
        <v>91.0</v>
      </c>
      <c r="B230" s="64" t="s">
        <v>465</v>
      </c>
      <c r="C230" s="64">
        <v>708000.0</v>
      </c>
      <c r="D230" s="83"/>
      <c r="E230" s="114"/>
      <c r="F230" s="64"/>
      <c r="G230" s="83"/>
      <c r="H230" s="83">
        <f t="shared" ref="H230:H233" si="7">C230</f>
        <v>708000</v>
      </c>
      <c r="I230" s="115"/>
    </row>
    <row r="231" ht="22.5" customHeight="1">
      <c r="A231" s="64">
        <v>92.0</v>
      </c>
      <c r="B231" s="64" t="s">
        <v>468</v>
      </c>
      <c r="C231" s="64">
        <v>53100.0</v>
      </c>
      <c r="D231" s="83"/>
      <c r="E231" s="114"/>
      <c r="F231" s="64"/>
      <c r="G231" s="83"/>
      <c r="H231" s="83">
        <f t="shared" si="7"/>
        <v>53100</v>
      </c>
      <c r="I231" s="115"/>
    </row>
    <row r="232" ht="22.5" customHeight="1">
      <c r="A232" s="64">
        <v>93.0</v>
      </c>
      <c r="B232" s="194" t="s">
        <v>470</v>
      </c>
      <c r="C232" s="64">
        <v>141600.0</v>
      </c>
      <c r="D232" s="83"/>
      <c r="E232" s="114"/>
      <c r="F232" s="64"/>
      <c r="G232" s="83"/>
      <c r="H232" s="83">
        <f t="shared" si="7"/>
        <v>141600</v>
      </c>
      <c r="I232" s="115"/>
    </row>
    <row r="233" ht="22.5" customHeight="1">
      <c r="A233" s="64"/>
      <c r="B233" s="194" t="s">
        <v>474</v>
      </c>
      <c r="C233" s="64">
        <v>330400.0</v>
      </c>
      <c r="D233" s="83"/>
      <c r="E233" s="114"/>
      <c r="F233" s="64"/>
      <c r="G233" s="83"/>
      <c r="H233" s="83">
        <f t="shared" si="7"/>
        <v>330400</v>
      </c>
      <c r="I233" s="115"/>
    </row>
    <row r="234" ht="22.5" customHeight="1">
      <c r="A234" s="64"/>
      <c r="B234" s="195"/>
      <c r="C234" s="64"/>
      <c r="D234" s="83"/>
      <c r="E234" s="114"/>
      <c r="F234" s="64"/>
      <c r="G234" s="83"/>
      <c r="H234" s="83"/>
      <c r="I234" s="115"/>
    </row>
    <row r="235" ht="22.5" customHeight="1">
      <c r="A235" s="64">
        <v>94.0</v>
      </c>
      <c r="B235" s="64" t="s">
        <v>476</v>
      </c>
      <c r="C235" s="64">
        <v>1123950.0</v>
      </c>
      <c r="D235" s="83"/>
      <c r="E235" s="114"/>
      <c r="F235" s="64"/>
      <c r="G235" s="83"/>
      <c r="H235" s="83">
        <f t="shared" ref="H235:H237" si="8">C235</f>
        <v>1123950</v>
      </c>
      <c r="I235" s="115"/>
    </row>
    <row r="236" ht="22.5" customHeight="1">
      <c r="A236" s="64">
        <v>95.0</v>
      </c>
      <c r="B236" s="64" t="s">
        <v>478</v>
      </c>
      <c r="C236" s="64">
        <v>82600.0</v>
      </c>
      <c r="D236" s="83"/>
      <c r="E236" s="114"/>
      <c r="F236" s="64"/>
      <c r="G236" s="83"/>
      <c r="H236" s="83">
        <f t="shared" si="8"/>
        <v>82600</v>
      </c>
      <c r="I236" s="115"/>
    </row>
    <row r="237" ht="22.5" customHeight="1">
      <c r="A237" s="64">
        <v>96.0</v>
      </c>
      <c r="B237" s="64" t="s">
        <v>479</v>
      </c>
      <c r="C237" s="64">
        <v>590000.0</v>
      </c>
      <c r="D237" s="83"/>
      <c r="E237" s="114"/>
      <c r="F237" s="64"/>
      <c r="G237" s="83"/>
      <c r="H237" s="83">
        <f t="shared" si="8"/>
        <v>590000</v>
      </c>
      <c r="I237" s="115"/>
    </row>
    <row r="238" ht="22.5" customHeight="1">
      <c r="A238" s="64"/>
      <c r="B238" s="83"/>
      <c r="C238" s="64"/>
      <c r="D238" s="83"/>
      <c r="E238" s="114"/>
      <c r="F238" s="64"/>
      <c r="G238" s="83"/>
      <c r="H238" s="83"/>
      <c r="I238" s="115"/>
    </row>
    <row r="239" ht="22.5" customHeight="1">
      <c r="A239" s="64"/>
      <c r="B239" s="83"/>
      <c r="C239" s="64"/>
      <c r="D239" s="83"/>
      <c r="E239" s="114"/>
      <c r="F239" s="64"/>
      <c r="G239" s="83"/>
      <c r="H239" s="83"/>
      <c r="I239" s="115"/>
    </row>
    <row r="240" ht="22.5" customHeight="1">
      <c r="A240" s="64">
        <v>97.0</v>
      </c>
      <c r="B240" s="64" t="s">
        <v>483</v>
      </c>
      <c r="C240" s="64">
        <v>413000.0</v>
      </c>
      <c r="D240" s="83"/>
      <c r="E240" s="114"/>
      <c r="F240" s="64"/>
      <c r="G240" s="83"/>
      <c r="H240" s="83">
        <f t="shared" ref="H240:H241" si="9">C240</f>
        <v>413000</v>
      </c>
      <c r="I240" s="115"/>
    </row>
    <row r="241" ht="22.5" customHeight="1">
      <c r="A241" s="64">
        <v>98.0</v>
      </c>
      <c r="B241" s="64" t="s">
        <v>484</v>
      </c>
      <c r="C241" s="64">
        <v>826000.0</v>
      </c>
      <c r="D241" s="83"/>
      <c r="E241" s="114"/>
      <c r="F241" s="64"/>
      <c r="G241" s="83"/>
      <c r="H241" s="83">
        <f t="shared" si="9"/>
        <v>826000</v>
      </c>
      <c r="I241" s="115"/>
    </row>
    <row r="242" ht="22.5" customHeight="1">
      <c r="A242" s="83"/>
      <c r="B242" s="83"/>
      <c r="C242" s="64"/>
      <c r="D242" s="83"/>
      <c r="E242" s="114"/>
      <c r="F242" s="64"/>
      <c r="G242" s="83"/>
      <c r="H242" s="83"/>
      <c r="I242" s="115"/>
    </row>
    <row r="243" ht="22.5" customHeight="1">
      <c r="A243" s="64">
        <v>99.0</v>
      </c>
      <c r="B243" s="64" t="s">
        <v>489</v>
      </c>
      <c r="C243" s="64">
        <v>1888000.0</v>
      </c>
      <c r="D243" s="83"/>
      <c r="E243" s="114"/>
      <c r="F243" s="64"/>
      <c r="G243" s="83"/>
      <c r="H243" s="83">
        <f>C243</f>
        <v>1888000</v>
      </c>
      <c r="I243" s="115"/>
    </row>
    <row r="244" ht="22.5" customHeight="1">
      <c r="A244" s="83"/>
      <c r="B244" s="83"/>
      <c r="C244" s="64"/>
      <c r="D244" s="83"/>
      <c r="E244" s="114"/>
      <c r="F244" s="64"/>
      <c r="G244" s="83"/>
      <c r="H244" s="83"/>
      <c r="I244" s="115"/>
    </row>
    <row r="245" ht="22.5" customHeight="1">
      <c r="A245" s="64">
        <v>100.0</v>
      </c>
      <c r="B245" s="64" t="s">
        <v>492</v>
      </c>
      <c r="C245" s="64">
        <v>1770000.0</v>
      </c>
      <c r="D245" s="70">
        <v>46094.0</v>
      </c>
      <c r="E245" s="125" t="s">
        <v>80</v>
      </c>
      <c r="F245" s="64">
        <v>870000.0</v>
      </c>
      <c r="G245" s="64">
        <v>15000.0</v>
      </c>
      <c r="H245" s="83">
        <f>C245-F245-G245-F246-G246</f>
        <v>885000</v>
      </c>
      <c r="I245" s="115"/>
    </row>
    <row r="246" ht="22.5" customHeight="1">
      <c r="A246" s="83"/>
      <c r="B246" s="83"/>
      <c r="C246" s="64"/>
      <c r="D246" s="83"/>
      <c r="E246" s="114"/>
      <c r="F246" s="64"/>
      <c r="G246" s="83"/>
      <c r="H246" s="83"/>
      <c r="I246" s="115"/>
    </row>
    <row r="247" ht="22.5" customHeight="1">
      <c r="A247" s="64">
        <v>101.0</v>
      </c>
      <c r="B247" s="64" t="s">
        <v>498</v>
      </c>
      <c r="C247" s="64">
        <v>1770000.0</v>
      </c>
      <c r="D247" s="70">
        <v>46094.0</v>
      </c>
      <c r="E247" s="125" t="s">
        <v>80</v>
      </c>
      <c r="F247" s="64">
        <v>870000.0</v>
      </c>
      <c r="G247" s="64">
        <v>15000.0</v>
      </c>
      <c r="H247" s="83">
        <f>C247-F247-G247-F248-G248</f>
        <v>885000</v>
      </c>
      <c r="I247" s="115"/>
    </row>
    <row r="248" ht="22.5" customHeight="1">
      <c r="A248" s="83"/>
      <c r="B248" s="83"/>
      <c r="C248" s="64"/>
      <c r="D248" s="83"/>
      <c r="E248" s="114"/>
      <c r="F248" s="64"/>
      <c r="G248" s="83"/>
      <c r="H248" s="83"/>
      <c r="I248" s="115"/>
    </row>
    <row r="249" ht="22.5" customHeight="1">
      <c r="A249" s="64">
        <v>102.0</v>
      </c>
      <c r="B249" s="64" t="s">
        <v>501</v>
      </c>
      <c r="C249" s="64">
        <v>470820.0</v>
      </c>
      <c r="D249" s="83"/>
      <c r="E249" s="114"/>
      <c r="F249" s="64"/>
      <c r="G249" s="83"/>
      <c r="H249" s="83">
        <f>C249-F249-G249-F250-G250</f>
        <v>470820</v>
      </c>
      <c r="I249" s="115"/>
    </row>
    <row r="250" ht="22.5" customHeight="1">
      <c r="A250" s="83"/>
      <c r="B250" s="83"/>
      <c r="C250" s="64"/>
      <c r="D250" s="83"/>
      <c r="E250" s="114"/>
      <c r="F250" s="64"/>
      <c r="G250" s="83"/>
      <c r="H250" s="83"/>
      <c r="I250" s="115"/>
    </row>
    <row r="251" ht="22.5" customHeight="1">
      <c r="A251" s="64">
        <v>103.0</v>
      </c>
      <c r="B251" s="64" t="s">
        <v>502</v>
      </c>
      <c r="C251" s="64">
        <v>1652000.0</v>
      </c>
      <c r="D251" s="83"/>
      <c r="E251" s="114"/>
      <c r="F251" s="64"/>
      <c r="G251" s="83"/>
      <c r="H251" s="83">
        <f>C251-F251-G251-F252-G252</f>
        <v>1652000</v>
      </c>
      <c r="I251" s="115"/>
    </row>
    <row r="252" ht="22.5" customHeight="1">
      <c r="A252" s="83"/>
      <c r="B252" s="83"/>
      <c r="C252" s="64"/>
      <c r="D252" s="83"/>
      <c r="E252" s="114"/>
      <c r="F252" s="64"/>
      <c r="G252" s="83"/>
      <c r="H252" s="83"/>
      <c r="I252" s="115"/>
    </row>
    <row r="253" ht="22.5" customHeight="1">
      <c r="A253" s="83"/>
      <c r="B253" s="83"/>
      <c r="C253" s="64"/>
      <c r="D253" s="83"/>
      <c r="E253" s="114"/>
      <c r="F253" s="64"/>
      <c r="G253" s="83"/>
      <c r="H253" s="83"/>
      <c r="I253" s="115"/>
    </row>
    <row r="254" ht="22.5" customHeight="1">
      <c r="A254" s="64">
        <v>104.0</v>
      </c>
      <c r="B254" s="64" t="s">
        <v>503</v>
      </c>
      <c r="C254" s="64">
        <v>1032500.0</v>
      </c>
      <c r="D254" s="83"/>
      <c r="E254" s="114"/>
      <c r="F254" s="64"/>
      <c r="G254" s="83"/>
      <c r="H254" s="83">
        <f>C254-F254-G254-F255-G255</f>
        <v>1032500</v>
      </c>
      <c r="I254" s="115"/>
    </row>
    <row r="255" ht="22.5" customHeight="1">
      <c r="A255" s="83"/>
      <c r="B255" s="83"/>
      <c r="C255" s="64"/>
      <c r="D255" s="83"/>
      <c r="E255" s="114"/>
      <c r="F255" s="64"/>
      <c r="G255" s="83"/>
      <c r="H255" s="83"/>
      <c r="I255" s="115"/>
    </row>
    <row r="256" ht="22.5" customHeight="1">
      <c r="A256" s="64">
        <v>105.0</v>
      </c>
      <c r="B256" s="64" t="s">
        <v>504</v>
      </c>
      <c r="C256" s="64">
        <v>86140.0</v>
      </c>
      <c r="D256" s="70">
        <v>46063.0</v>
      </c>
      <c r="E256" s="125" t="s">
        <v>505</v>
      </c>
      <c r="F256" s="64">
        <v>84680.0</v>
      </c>
      <c r="G256" s="83">
        <f>C256-F256</f>
        <v>1460</v>
      </c>
      <c r="H256" s="83">
        <f>C256-F256-G256</f>
        <v>0</v>
      </c>
      <c r="I256" s="115"/>
    </row>
    <row r="257" ht="22.5" customHeight="1">
      <c r="A257" s="83"/>
      <c r="B257" s="83"/>
      <c r="C257" s="64"/>
      <c r="D257" s="83"/>
      <c r="E257" s="114"/>
      <c r="F257" s="64"/>
      <c r="G257" s="83"/>
      <c r="H257" s="83"/>
      <c r="I257" s="115"/>
    </row>
    <row r="258" ht="22.5" customHeight="1">
      <c r="A258" s="83"/>
      <c r="B258" s="83"/>
      <c r="C258" s="64"/>
      <c r="D258" s="83"/>
      <c r="E258" s="114"/>
      <c r="F258" s="64"/>
      <c r="G258" s="83"/>
      <c r="H258" s="83"/>
      <c r="I258" s="115"/>
    </row>
    <row r="259" ht="22.5" customHeight="1">
      <c r="A259" s="140"/>
      <c r="B259" s="196" t="s">
        <v>507</v>
      </c>
      <c r="C259" s="197">
        <f>SUM(C2:C258)</f>
        <v>81881091</v>
      </c>
      <c r="D259" s="83"/>
      <c r="E259" s="198"/>
      <c r="F259" s="197">
        <f t="shared" ref="F259:G259" si="10">SUM(F2:F257)</f>
        <v>65369420</v>
      </c>
      <c r="G259" s="197">
        <f t="shared" si="10"/>
        <v>2966104</v>
      </c>
      <c r="H259" s="197">
        <f>SUM(H2:H250)</f>
        <v>13261140</v>
      </c>
      <c r="I259" s="199"/>
    </row>
    <row r="260">
      <c r="A260" s="200"/>
      <c r="B260" s="200"/>
      <c r="C260" s="200"/>
      <c r="D260" s="201"/>
      <c r="E260" s="200"/>
      <c r="F260" s="200"/>
      <c r="G260" s="200"/>
      <c r="H260" s="200"/>
    </row>
    <row r="261">
      <c r="A261" s="200"/>
      <c r="B261" s="200"/>
      <c r="C261" s="200"/>
      <c r="D261" s="143"/>
      <c r="E261" s="200"/>
      <c r="F261" s="200"/>
      <c r="G261" s="200"/>
      <c r="H261" s="200"/>
    </row>
    <row r="262">
      <c r="A262" s="200"/>
      <c r="B262" s="200"/>
      <c r="C262" s="200"/>
      <c r="D262" s="143"/>
      <c r="E262" s="200"/>
      <c r="F262" s="200"/>
      <c r="G262" s="200"/>
      <c r="H262" s="200"/>
    </row>
    <row r="263">
      <c r="A263" s="200"/>
      <c r="B263" s="200"/>
      <c r="C263" s="200"/>
      <c r="D263" s="201"/>
      <c r="E263" s="200"/>
      <c r="F263" s="200"/>
      <c r="G263" s="200"/>
      <c r="H263" s="200"/>
    </row>
    <row r="264">
      <c r="A264" s="200"/>
      <c r="B264" s="200"/>
      <c r="C264" s="200"/>
      <c r="D264" s="201"/>
      <c r="E264" s="200"/>
      <c r="F264" s="200"/>
      <c r="G264" s="200"/>
      <c r="H264" s="200"/>
    </row>
    <row r="265">
      <c r="A265" s="200"/>
      <c r="B265" s="200"/>
      <c r="C265" s="200"/>
      <c r="D265" s="201"/>
      <c r="E265" s="200"/>
      <c r="F265" s="200"/>
      <c r="G265" s="200"/>
      <c r="H265" s="200"/>
    </row>
    <row r="266">
      <c r="A266" s="200"/>
      <c r="B266" s="200"/>
      <c r="C266" s="200"/>
      <c r="D266" s="201"/>
      <c r="E266" s="200"/>
      <c r="F266" s="200"/>
      <c r="G266" s="200"/>
      <c r="H266" s="200"/>
    </row>
    <row r="267">
      <c r="A267" s="200"/>
      <c r="B267" s="200"/>
      <c r="C267" s="200"/>
      <c r="D267" s="201"/>
      <c r="E267" s="200"/>
      <c r="F267" s="200"/>
      <c r="G267" s="200"/>
      <c r="H267" s="200"/>
    </row>
    <row r="268">
      <c r="A268" s="200"/>
      <c r="B268" s="200"/>
      <c r="C268" s="200"/>
      <c r="D268" s="201"/>
      <c r="E268" s="200"/>
      <c r="F268" s="200"/>
      <c r="G268" s="200"/>
      <c r="H268" s="200"/>
    </row>
    <row r="269">
      <c r="A269" s="200"/>
      <c r="B269" s="200"/>
      <c r="C269" s="200"/>
      <c r="D269" s="201"/>
      <c r="E269" s="200"/>
      <c r="F269" s="200"/>
      <c r="G269" s="200"/>
      <c r="H269" s="200"/>
    </row>
    <row r="270">
      <c r="A270" s="200"/>
      <c r="B270" s="200"/>
      <c r="C270" s="200"/>
      <c r="D270" s="201"/>
      <c r="E270" s="200"/>
      <c r="F270" s="200"/>
      <c r="G270" s="200"/>
      <c r="H270" s="200"/>
    </row>
    <row r="271">
      <c r="A271" s="200"/>
      <c r="B271" s="200"/>
      <c r="C271" s="200"/>
      <c r="D271" s="201"/>
      <c r="E271" s="200"/>
      <c r="F271" s="200"/>
      <c r="G271" s="200"/>
      <c r="H271" s="200"/>
    </row>
    <row r="272">
      <c r="A272" s="200"/>
      <c r="B272" s="200"/>
      <c r="C272" s="200"/>
      <c r="D272" s="201"/>
      <c r="E272" s="200"/>
      <c r="F272" s="200"/>
      <c r="G272" s="200"/>
      <c r="H272" s="200"/>
    </row>
    <row r="273">
      <c r="A273" s="200"/>
      <c r="B273" s="200"/>
      <c r="C273" s="200"/>
      <c r="D273" s="201"/>
      <c r="E273" s="200"/>
      <c r="F273" s="200"/>
      <c r="G273" s="200"/>
      <c r="H273" s="200"/>
    </row>
    <row r="274">
      <c r="A274" s="200"/>
      <c r="B274" s="200"/>
      <c r="C274" s="200"/>
      <c r="D274" s="201"/>
      <c r="E274" s="200"/>
      <c r="F274" s="200"/>
      <c r="G274" s="200"/>
      <c r="H274" s="200"/>
    </row>
    <row r="275">
      <c r="A275" s="200"/>
      <c r="B275" s="200"/>
      <c r="C275" s="200"/>
      <c r="D275" s="201"/>
      <c r="E275" s="200"/>
      <c r="F275" s="200"/>
      <c r="G275" s="200"/>
      <c r="H275" s="200"/>
    </row>
    <row r="276">
      <c r="A276" s="200"/>
      <c r="B276" s="200"/>
      <c r="C276" s="200"/>
      <c r="D276" s="201"/>
      <c r="E276" s="200"/>
      <c r="F276" s="200"/>
      <c r="G276" s="200"/>
      <c r="H276" s="200"/>
    </row>
    <row r="277">
      <c r="A277" s="200"/>
      <c r="B277" s="200"/>
      <c r="C277" s="200"/>
      <c r="D277" s="201"/>
      <c r="E277" s="200"/>
      <c r="F277" s="200"/>
      <c r="G277" s="200"/>
      <c r="H277" s="200"/>
    </row>
    <row r="278">
      <c r="A278" s="200"/>
      <c r="B278" s="200"/>
      <c r="C278" s="200"/>
      <c r="D278" s="201"/>
      <c r="E278" s="200"/>
      <c r="F278" s="200"/>
      <c r="G278" s="200"/>
      <c r="H278" s="200"/>
    </row>
    <row r="279">
      <c r="A279" s="200"/>
      <c r="B279" s="200"/>
      <c r="C279" s="200"/>
      <c r="D279" s="201"/>
      <c r="E279" s="200"/>
      <c r="F279" s="200"/>
      <c r="G279" s="200"/>
      <c r="H279" s="200"/>
    </row>
    <row r="280">
      <c r="A280" s="200"/>
      <c r="B280" s="200"/>
      <c r="C280" s="200"/>
      <c r="D280" s="201"/>
      <c r="E280" s="200"/>
      <c r="F280" s="200"/>
      <c r="G280" s="200"/>
      <c r="H280" s="200"/>
    </row>
    <row r="281">
      <c r="A281" s="200"/>
      <c r="B281" s="200"/>
      <c r="C281" s="200"/>
      <c r="D281" s="201"/>
      <c r="E281" s="200"/>
      <c r="F281" s="200"/>
      <c r="G281" s="200"/>
      <c r="H281" s="200"/>
    </row>
    <row r="282">
      <c r="A282" s="200"/>
      <c r="B282" s="200"/>
      <c r="C282" s="200"/>
      <c r="D282" s="201"/>
      <c r="E282" s="200"/>
      <c r="F282" s="200"/>
      <c r="G282" s="200"/>
      <c r="H282" s="200"/>
    </row>
    <row r="283">
      <c r="A283" s="200"/>
      <c r="B283" s="200"/>
      <c r="C283" s="200"/>
      <c r="D283" s="201"/>
      <c r="E283" s="200"/>
      <c r="F283" s="200"/>
      <c r="G283" s="200"/>
      <c r="H283" s="200"/>
    </row>
    <row r="284">
      <c r="A284" s="200"/>
      <c r="B284" s="200"/>
      <c r="C284" s="200"/>
      <c r="D284" s="201"/>
      <c r="E284" s="200"/>
      <c r="F284" s="200"/>
      <c r="G284" s="200"/>
      <c r="H284" s="200"/>
    </row>
    <row r="285">
      <c r="A285" s="200"/>
      <c r="B285" s="200"/>
      <c r="C285" s="200"/>
      <c r="D285" s="201"/>
      <c r="E285" s="200"/>
      <c r="F285" s="200"/>
      <c r="G285" s="200"/>
      <c r="H285" s="200"/>
    </row>
    <row r="286">
      <c r="A286" s="200"/>
      <c r="B286" s="200"/>
      <c r="C286" s="200"/>
      <c r="D286" s="201"/>
      <c r="E286" s="200"/>
      <c r="F286" s="200"/>
      <c r="G286" s="200"/>
      <c r="H286" s="200"/>
    </row>
    <row r="287">
      <c r="A287" s="200"/>
      <c r="B287" s="200"/>
      <c r="C287" s="200"/>
      <c r="D287" s="201"/>
      <c r="E287" s="200"/>
      <c r="F287" s="200"/>
      <c r="G287" s="200"/>
      <c r="H287" s="200"/>
    </row>
    <row r="288">
      <c r="A288" s="200"/>
      <c r="B288" s="200"/>
      <c r="C288" s="200"/>
      <c r="D288" s="201"/>
      <c r="E288" s="200"/>
      <c r="F288" s="200"/>
      <c r="G288" s="200"/>
      <c r="H288" s="200"/>
    </row>
    <row r="289">
      <c r="A289" s="200"/>
      <c r="B289" s="200"/>
      <c r="C289" s="200"/>
      <c r="D289" s="201"/>
      <c r="E289" s="200"/>
      <c r="F289" s="200"/>
      <c r="G289" s="200"/>
      <c r="H289" s="200"/>
    </row>
    <row r="290">
      <c r="A290" s="200"/>
      <c r="B290" s="200"/>
      <c r="C290" s="200"/>
      <c r="D290" s="201"/>
      <c r="E290" s="200"/>
      <c r="F290" s="200"/>
      <c r="G290" s="200"/>
      <c r="H290" s="200"/>
    </row>
    <row r="291">
      <c r="A291" s="200"/>
      <c r="B291" s="200"/>
      <c r="C291" s="200"/>
      <c r="D291" s="201"/>
      <c r="E291" s="200"/>
      <c r="F291" s="200"/>
      <c r="G291" s="200"/>
      <c r="H291" s="200"/>
    </row>
    <row r="292">
      <c r="A292" s="200"/>
      <c r="B292" s="200"/>
      <c r="C292" s="200"/>
      <c r="D292" s="201"/>
      <c r="E292" s="200"/>
      <c r="F292" s="200"/>
      <c r="G292" s="200"/>
      <c r="H292" s="200"/>
    </row>
    <row r="293">
      <c r="A293" s="200"/>
      <c r="B293" s="200"/>
      <c r="C293" s="200"/>
      <c r="D293" s="201"/>
      <c r="E293" s="200"/>
      <c r="F293" s="200"/>
      <c r="G293" s="200"/>
      <c r="H293" s="200"/>
    </row>
    <row r="294">
      <c r="A294" s="200"/>
      <c r="B294" s="200"/>
      <c r="C294" s="200"/>
      <c r="D294" s="201"/>
      <c r="E294" s="200"/>
      <c r="F294" s="200"/>
      <c r="G294" s="200"/>
      <c r="H294" s="200"/>
    </row>
    <row r="295">
      <c r="A295" s="200"/>
      <c r="B295" s="200"/>
      <c r="C295" s="200"/>
      <c r="D295" s="201"/>
      <c r="E295" s="200"/>
      <c r="F295" s="200"/>
      <c r="G295" s="200"/>
      <c r="H295" s="200"/>
    </row>
    <row r="296">
      <c r="A296" s="200"/>
      <c r="B296" s="200"/>
      <c r="C296" s="200"/>
      <c r="D296" s="201"/>
      <c r="E296" s="200"/>
      <c r="F296" s="200"/>
      <c r="G296" s="200"/>
      <c r="H296" s="200"/>
    </row>
    <row r="297">
      <c r="A297" s="200"/>
      <c r="B297" s="200"/>
      <c r="C297" s="200"/>
      <c r="D297" s="201"/>
      <c r="E297" s="200"/>
      <c r="F297" s="200"/>
      <c r="G297" s="200"/>
      <c r="H297" s="200"/>
    </row>
    <row r="298">
      <c r="A298" s="200"/>
      <c r="B298" s="200"/>
      <c r="C298" s="200"/>
      <c r="D298" s="201"/>
      <c r="E298" s="200"/>
      <c r="F298" s="200"/>
      <c r="G298" s="200"/>
      <c r="H298" s="200"/>
    </row>
    <row r="299">
      <c r="A299" s="200"/>
      <c r="B299" s="200"/>
      <c r="C299" s="200"/>
      <c r="D299" s="201"/>
      <c r="E299" s="200"/>
      <c r="F299" s="200"/>
      <c r="G299" s="200"/>
      <c r="H299" s="200"/>
    </row>
    <row r="300">
      <c r="A300" s="200"/>
      <c r="B300" s="200"/>
      <c r="C300" s="200"/>
      <c r="D300" s="201"/>
      <c r="E300" s="200"/>
      <c r="F300" s="200"/>
      <c r="G300" s="200"/>
      <c r="H300" s="200"/>
    </row>
    <row r="301">
      <c r="A301" s="200"/>
      <c r="B301" s="200"/>
      <c r="C301" s="200"/>
      <c r="D301" s="201"/>
      <c r="E301" s="200"/>
      <c r="F301" s="200"/>
      <c r="G301" s="200"/>
      <c r="H301" s="200"/>
    </row>
    <row r="302">
      <c r="A302" s="200"/>
      <c r="B302" s="200"/>
      <c r="C302" s="200"/>
      <c r="D302" s="201"/>
      <c r="E302" s="200"/>
      <c r="F302" s="200"/>
      <c r="G302" s="200"/>
      <c r="H302" s="200"/>
    </row>
    <row r="303">
      <c r="A303" s="200"/>
      <c r="B303" s="200"/>
      <c r="C303" s="200"/>
      <c r="D303" s="201"/>
      <c r="E303" s="200"/>
      <c r="F303" s="200"/>
      <c r="G303" s="200"/>
      <c r="H303" s="200"/>
    </row>
    <row r="304">
      <c r="A304" s="200"/>
      <c r="B304" s="200"/>
      <c r="C304" s="200"/>
      <c r="D304" s="201"/>
      <c r="E304" s="200"/>
      <c r="F304" s="200"/>
      <c r="G304" s="200"/>
      <c r="H304" s="200"/>
    </row>
    <row r="305">
      <c r="A305" s="200"/>
      <c r="B305" s="200"/>
      <c r="C305" s="200"/>
      <c r="D305" s="201"/>
      <c r="E305" s="200"/>
      <c r="F305" s="200"/>
      <c r="G305" s="200"/>
      <c r="H305" s="200"/>
    </row>
    <row r="306">
      <c r="A306" s="200"/>
      <c r="B306" s="200"/>
      <c r="C306" s="200"/>
      <c r="D306" s="201"/>
      <c r="E306" s="200"/>
      <c r="F306" s="200"/>
      <c r="G306" s="200"/>
      <c r="H306" s="200"/>
    </row>
    <row r="307">
      <c r="A307" s="200"/>
      <c r="B307" s="200"/>
      <c r="C307" s="200"/>
      <c r="D307" s="201"/>
      <c r="E307" s="200"/>
      <c r="F307" s="200"/>
      <c r="G307" s="200"/>
      <c r="H307" s="200"/>
    </row>
    <row r="308">
      <c r="A308" s="200"/>
      <c r="B308" s="200"/>
      <c r="C308" s="200"/>
      <c r="D308" s="201"/>
      <c r="E308" s="200"/>
      <c r="F308" s="200"/>
      <c r="G308" s="200"/>
      <c r="H308" s="200"/>
    </row>
    <row r="309">
      <c r="A309" s="200"/>
      <c r="B309" s="200"/>
      <c r="C309" s="200"/>
      <c r="D309" s="201"/>
      <c r="E309" s="200"/>
      <c r="F309" s="200"/>
      <c r="G309" s="200"/>
      <c r="H309" s="200"/>
    </row>
    <row r="310">
      <c r="A310" s="200"/>
      <c r="B310" s="200"/>
      <c r="C310" s="200"/>
      <c r="D310" s="201"/>
      <c r="E310" s="200"/>
      <c r="F310" s="200"/>
      <c r="G310" s="200"/>
      <c r="H310" s="200"/>
    </row>
    <row r="311">
      <c r="A311" s="200"/>
      <c r="B311" s="200"/>
      <c r="C311" s="200"/>
      <c r="D311" s="201"/>
      <c r="E311" s="200"/>
      <c r="F311" s="200"/>
      <c r="G311" s="200"/>
      <c r="H311" s="200"/>
    </row>
    <row r="312">
      <c r="A312" s="200"/>
      <c r="B312" s="200"/>
      <c r="C312" s="200"/>
      <c r="D312" s="201"/>
      <c r="E312" s="200"/>
      <c r="F312" s="200"/>
      <c r="G312" s="200"/>
      <c r="H312" s="200"/>
    </row>
    <row r="313">
      <c r="A313" s="200"/>
      <c r="B313" s="200"/>
      <c r="C313" s="200"/>
      <c r="D313" s="201"/>
      <c r="E313" s="200"/>
      <c r="F313" s="200"/>
      <c r="G313" s="200"/>
      <c r="H313" s="200"/>
    </row>
    <row r="314">
      <c r="A314" s="200"/>
      <c r="B314" s="200"/>
      <c r="C314" s="200"/>
      <c r="D314" s="201"/>
      <c r="E314" s="200"/>
      <c r="F314" s="200"/>
      <c r="G314" s="200"/>
      <c r="H314" s="200"/>
    </row>
    <row r="315">
      <c r="A315" s="200"/>
      <c r="B315" s="200"/>
      <c r="C315" s="200"/>
      <c r="D315" s="201"/>
      <c r="E315" s="200"/>
      <c r="F315" s="200"/>
      <c r="G315" s="200"/>
      <c r="H315" s="200"/>
    </row>
    <row r="316">
      <c r="A316" s="200"/>
      <c r="B316" s="200"/>
      <c r="C316" s="200"/>
      <c r="D316" s="201"/>
      <c r="E316" s="200"/>
      <c r="F316" s="200"/>
      <c r="G316" s="200"/>
      <c r="H316" s="200"/>
    </row>
    <row r="317">
      <c r="A317" s="200"/>
      <c r="B317" s="200"/>
      <c r="C317" s="200"/>
      <c r="D317" s="201"/>
      <c r="E317" s="200"/>
      <c r="F317" s="200"/>
      <c r="G317" s="200"/>
      <c r="H317" s="200"/>
    </row>
    <row r="318">
      <c r="A318" s="200"/>
      <c r="B318" s="200"/>
      <c r="C318" s="200"/>
      <c r="D318" s="201"/>
      <c r="E318" s="200"/>
      <c r="F318" s="200"/>
      <c r="G318" s="200"/>
      <c r="H318" s="200"/>
    </row>
    <row r="319">
      <c r="A319" s="200"/>
      <c r="B319" s="200"/>
      <c r="C319" s="200"/>
      <c r="D319" s="201"/>
      <c r="E319" s="200"/>
      <c r="F319" s="200"/>
      <c r="G319" s="200"/>
      <c r="H319" s="200"/>
    </row>
    <row r="320">
      <c r="A320" s="200"/>
      <c r="B320" s="200"/>
      <c r="C320" s="200"/>
      <c r="D320" s="201"/>
      <c r="E320" s="200"/>
      <c r="F320" s="200"/>
      <c r="G320" s="200"/>
      <c r="H320" s="200"/>
    </row>
    <row r="321">
      <c r="A321" s="200"/>
      <c r="B321" s="200"/>
      <c r="C321" s="200"/>
      <c r="D321" s="201"/>
      <c r="E321" s="200"/>
      <c r="F321" s="200"/>
      <c r="G321" s="200"/>
      <c r="H321" s="200"/>
    </row>
    <row r="322">
      <c r="A322" s="200"/>
      <c r="B322" s="200"/>
      <c r="C322" s="200"/>
      <c r="D322" s="201"/>
      <c r="E322" s="200"/>
      <c r="F322" s="200"/>
      <c r="G322" s="200"/>
      <c r="H322" s="200"/>
    </row>
    <row r="323">
      <c r="A323" s="200"/>
      <c r="B323" s="200"/>
      <c r="C323" s="200"/>
      <c r="D323" s="201"/>
      <c r="E323" s="200"/>
      <c r="F323" s="200"/>
      <c r="G323" s="200"/>
      <c r="H323" s="200"/>
    </row>
    <row r="324">
      <c r="A324" s="200"/>
      <c r="B324" s="200"/>
      <c r="C324" s="200"/>
      <c r="D324" s="201"/>
      <c r="E324" s="200"/>
      <c r="F324" s="200"/>
      <c r="G324" s="200"/>
      <c r="H324" s="200"/>
    </row>
    <row r="325">
      <c r="A325" s="200"/>
      <c r="B325" s="200"/>
      <c r="C325" s="200"/>
      <c r="D325" s="201"/>
      <c r="E325" s="200"/>
      <c r="F325" s="200"/>
      <c r="G325" s="200"/>
      <c r="H325" s="200"/>
    </row>
    <row r="326">
      <c r="A326" s="200"/>
      <c r="B326" s="200"/>
      <c r="C326" s="200"/>
      <c r="D326" s="201"/>
      <c r="E326" s="200"/>
      <c r="F326" s="200"/>
      <c r="G326" s="200"/>
      <c r="H326" s="200"/>
    </row>
    <row r="327">
      <c r="A327" s="200"/>
      <c r="B327" s="200"/>
      <c r="C327" s="200"/>
      <c r="D327" s="201"/>
      <c r="E327" s="200"/>
      <c r="F327" s="200"/>
      <c r="G327" s="200"/>
      <c r="H327" s="200"/>
    </row>
    <row r="328">
      <c r="A328" s="200"/>
      <c r="B328" s="200"/>
      <c r="C328" s="200"/>
      <c r="D328" s="201"/>
      <c r="E328" s="200"/>
      <c r="F328" s="200"/>
      <c r="G328" s="200"/>
      <c r="H328" s="200"/>
    </row>
    <row r="329">
      <c r="A329" s="200"/>
      <c r="B329" s="200"/>
      <c r="C329" s="200"/>
      <c r="D329" s="201"/>
      <c r="E329" s="200"/>
      <c r="F329" s="200"/>
      <c r="G329" s="200"/>
      <c r="H329" s="200"/>
    </row>
    <row r="330">
      <c r="A330" s="200"/>
      <c r="B330" s="200"/>
      <c r="C330" s="200"/>
      <c r="D330" s="201"/>
      <c r="E330" s="200"/>
      <c r="F330" s="200"/>
      <c r="G330" s="200"/>
      <c r="H330" s="200"/>
    </row>
    <row r="331">
      <c r="A331" s="200"/>
      <c r="B331" s="200"/>
      <c r="C331" s="200"/>
      <c r="D331" s="201"/>
      <c r="E331" s="200"/>
      <c r="F331" s="200"/>
      <c r="G331" s="200"/>
      <c r="H331" s="200"/>
    </row>
    <row r="332">
      <c r="A332" s="200"/>
      <c r="B332" s="200"/>
      <c r="C332" s="200"/>
      <c r="D332" s="201"/>
      <c r="E332" s="200"/>
      <c r="F332" s="200"/>
      <c r="G332" s="200"/>
      <c r="H332" s="200"/>
    </row>
    <row r="333">
      <c r="A333" s="200"/>
      <c r="B333" s="200"/>
      <c r="C333" s="200"/>
      <c r="D333" s="201"/>
      <c r="E333" s="200"/>
      <c r="F333" s="200"/>
      <c r="G333" s="200"/>
      <c r="H333" s="200"/>
    </row>
    <row r="334">
      <c r="A334" s="200"/>
      <c r="B334" s="200"/>
      <c r="C334" s="200"/>
      <c r="D334" s="201"/>
      <c r="E334" s="200"/>
      <c r="F334" s="200"/>
      <c r="G334" s="200"/>
      <c r="H334" s="200"/>
    </row>
    <row r="335">
      <c r="A335" s="200"/>
      <c r="B335" s="200"/>
      <c r="C335" s="200"/>
      <c r="D335" s="201"/>
      <c r="E335" s="200"/>
      <c r="F335" s="200"/>
      <c r="G335" s="200"/>
      <c r="H335" s="200"/>
    </row>
    <row r="336">
      <c r="A336" s="200"/>
      <c r="B336" s="200"/>
      <c r="C336" s="200"/>
      <c r="D336" s="201"/>
      <c r="E336" s="200"/>
      <c r="F336" s="200"/>
      <c r="G336" s="200"/>
      <c r="H336" s="200"/>
    </row>
    <row r="337">
      <c r="A337" s="200"/>
      <c r="B337" s="200"/>
      <c r="C337" s="200"/>
      <c r="D337" s="201"/>
      <c r="E337" s="200"/>
      <c r="F337" s="200"/>
      <c r="G337" s="200"/>
      <c r="H337" s="200"/>
    </row>
    <row r="338">
      <c r="A338" s="200"/>
      <c r="B338" s="200"/>
      <c r="C338" s="200"/>
      <c r="D338" s="201"/>
      <c r="E338" s="200"/>
      <c r="F338" s="200"/>
      <c r="G338" s="200"/>
      <c r="H338" s="200"/>
    </row>
    <row r="339">
      <c r="A339" s="200"/>
      <c r="B339" s="200"/>
      <c r="C339" s="200"/>
      <c r="D339" s="201"/>
      <c r="E339" s="200"/>
      <c r="F339" s="200"/>
      <c r="G339" s="200"/>
      <c r="H339" s="200"/>
    </row>
    <row r="340">
      <c r="A340" s="200"/>
      <c r="B340" s="200"/>
      <c r="C340" s="200"/>
      <c r="D340" s="201"/>
      <c r="E340" s="200"/>
      <c r="F340" s="200"/>
      <c r="G340" s="200"/>
      <c r="H340" s="200"/>
    </row>
    <row r="341">
      <c r="A341" s="200"/>
      <c r="B341" s="200"/>
      <c r="C341" s="200"/>
      <c r="D341" s="201"/>
      <c r="E341" s="200"/>
      <c r="F341" s="200"/>
      <c r="G341" s="200"/>
      <c r="H341" s="200"/>
    </row>
    <row r="342">
      <c r="A342" s="200"/>
      <c r="B342" s="200"/>
      <c r="C342" s="200"/>
      <c r="D342" s="201"/>
      <c r="E342" s="200"/>
      <c r="F342" s="200"/>
      <c r="G342" s="200"/>
      <c r="H342" s="200"/>
    </row>
    <row r="343">
      <c r="A343" s="200"/>
      <c r="B343" s="200"/>
      <c r="C343" s="200"/>
      <c r="D343" s="201"/>
      <c r="E343" s="200"/>
      <c r="F343" s="200"/>
      <c r="G343" s="200"/>
      <c r="H343" s="200"/>
    </row>
    <row r="344">
      <c r="A344" s="200"/>
      <c r="B344" s="200"/>
      <c r="C344" s="200"/>
      <c r="D344" s="201"/>
      <c r="E344" s="200"/>
      <c r="F344" s="200"/>
      <c r="G344" s="200"/>
      <c r="H344" s="200"/>
    </row>
    <row r="345">
      <c r="A345" s="200"/>
      <c r="B345" s="200"/>
      <c r="C345" s="200"/>
      <c r="D345" s="201"/>
      <c r="E345" s="200"/>
      <c r="F345" s="200"/>
      <c r="G345" s="200"/>
      <c r="H345" s="200"/>
    </row>
    <row r="346">
      <c r="A346" s="200"/>
      <c r="B346" s="200"/>
      <c r="C346" s="200"/>
      <c r="D346" s="201"/>
      <c r="E346" s="200"/>
      <c r="F346" s="200"/>
      <c r="G346" s="200"/>
      <c r="H346" s="200"/>
    </row>
    <row r="347">
      <c r="A347" s="200"/>
      <c r="B347" s="200"/>
      <c r="C347" s="200"/>
      <c r="D347" s="201"/>
      <c r="E347" s="200"/>
      <c r="F347" s="200"/>
      <c r="G347" s="200"/>
      <c r="H347" s="200"/>
    </row>
    <row r="348">
      <c r="A348" s="200"/>
      <c r="B348" s="200"/>
      <c r="C348" s="200"/>
      <c r="D348" s="201"/>
      <c r="E348" s="200"/>
      <c r="F348" s="200"/>
      <c r="G348" s="200"/>
      <c r="H348" s="200"/>
    </row>
    <row r="349">
      <c r="A349" s="200"/>
      <c r="B349" s="200"/>
      <c r="C349" s="200"/>
      <c r="D349" s="201"/>
      <c r="E349" s="200"/>
      <c r="F349" s="200"/>
      <c r="G349" s="200"/>
      <c r="H349" s="200"/>
    </row>
    <row r="350">
      <c r="A350" s="200"/>
      <c r="B350" s="200"/>
      <c r="C350" s="200"/>
      <c r="D350" s="201"/>
      <c r="E350" s="200"/>
      <c r="F350" s="200"/>
      <c r="G350" s="200"/>
      <c r="H350" s="200"/>
    </row>
    <row r="351">
      <c r="A351" s="200"/>
      <c r="B351" s="200"/>
      <c r="C351" s="200"/>
      <c r="D351" s="201"/>
      <c r="E351" s="200"/>
      <c r="F351" s="200"/>
      <c r="G351" s="200"/>
      <c r="H351" s="200"/>
    </row>
    <row r="352">
      <c r="A352" s="200"/>
      <c r="B352" s="200"/>
      <c r="C352" s="200"/>
      <c r="D352" s="201"/>
      <c r="E352" s="200"/>
      <c r="F352" s="200"/>
      <c r="G352" s="200"/>
      <c r="H352" s="200"/>
    </row>
    <row r="353">
      <c r="A353" s="200"/>
      <c r="B353" s="200"/>
      <c r="C353" s="200"/>
      <c r="D353" s="201"/>
      <c r="E353" s="200"/>
      <c r="F353" s="200"/>
      <c r="G353" s="200"/>
      <c r="H353" s="200"/>
    </row>
    <row r="354">
      <c r="A354" s="200"/>
      <c r="B354" s="200"/>
      <c r="C354" s="200"/>
      <c r="D354" s="201"/>
      <c r="E354" s="200"/>
      <c r="F354" s="200"/>
      <c r="G354" s="200"/>
      <c r="H354" s="200"/>
    </row>
    <row r="355">
      <c r="A355" s="200"/>
      <c r="B355" s="200"/>
      <c r="C355" s="200"/>
      <c r="D355" s="201"/>
      <c r="E355" s="200"/>
      <c r="F355" s="200"/>
      <c r="G355" s="200"/>
      <c r="H355" s="200"/>
    </row>
    <row r="356">
      <c r="A356" s="200"/>
      <c r="B356" s="200"/>
      <c r="C356" s="200"/>
      <c r="D356" s="201"/>
      <c r="E356" s="200"/>
      <c r="F356" s="200"/>
      <c r="G356" s="200"/>
      <c r="H356" s="200"/>
    </row>
    <row r="357">
      <c r="A357" s="200"/>
      <c r="B357" s="200"/>
      <c r="C357" s="200"/>
      <c r="D357" s="201"/>
      <c r="E357" s="200"/>
      <c r="F357" s="200"/>
      <c r="G357" s="200"/>
      <c r="H357" s="200"/>
    </row>
    <row r="358">
      <c r="A358" s="200"/>
      <c r="B358" s="200"/>
      <c r="C358" s="200"/>
      <c r="D358" s="201"/>
      <c r="E358" s="200"/>
      <c r="F358" s="200"/>
      <c r="G358" s="200"/>
      <c r="H358" s="200"/>
    </row>
    <row r="359">
      <c r="A359" s="200"/>
      <c r="B359" s="200"/>
      <c r="C359" s="200"/>
      <c r="D359" s="201"/>
      <c r="E359" s="200"/>
      <c r="F359" s="200"/>
      <c r="G359" s="200"/>
      <c r="H359" s="200"/>
    </row>
    <row r="360">
      <c r="A360" s="200"/>
      <c r="B360" s="200"/>
      <c r="C360" s="200"/>
      <c r="D360" s="201"/>
      <c r="E360" s="200"/>
      <c r="F360" s="200"/>
      <c r="G360" s="200"/>
      <c r="H360" s="200"/>
    </row>
    <row r="361">
      <c r="A361" s="200"/>
      <c r="B361" s="200"/>
      <c r="C361" s="200"/>
      <c r="D361" s="201"/>
      <c r="E361" s="200"/>
      <c r="F361" s="200"/>
      <c r="G361" s="200"/>
      <c r="H361" s="200"/>
    </row>
    <row r="362">
      <c r="A362" s="200"/>
      <c r="B362" s="200"/>
      <c r="C362" s="200"/>
      <c r="D362" s="201"/>
      <c r="E362" s="200"/>
      <c r="F362" s="200"/>
      <c r="G362" s="200"/>
      <c r="H362" s="200"/>
    </row>
    <row r="363">
      <c r="A363" s="200"/>
      <c r="B363" s="200"/>
      <c r="C363" s="200"/>
      <c r="D363" s="201"/>
      <c r="E363" s="200"/>
      <c r="F363" s="200"/>
      <c r="G363" s="200"/>
      <c r="H363" s="200"/>
    </row>
    <row r="364">
      <c r="A364" s="200"/>
      <c r="B364" s="200"/>
      <c r="C364" s="200"/>
      <c r="D364" s="201"/>
      <c r="E364" s="200"/>
      <c r="F364" s="200"/>
      <c r="G364" s="200"/>
      <c r="H364" s="200"/>
    </row>
    <row r="365">
      <c r="A365" s="200"/>
      <c r="B365" s="200"/>
      <c r="C365" s="200"/>
      <c r="D365" s="201"/>
      <c r="E365" s="200"/>
      <c r="F365" s="200"/>
      <c r="G365" s="200"/>
      <c r="H365" s="200"/>
    </row>
    <row r="366">
      <c r="A366" s="200"/>
      <c r="B366" s="200"/>
      <c r="C366" s="200"/>
      <c r="D366" s="201"/>
      <c r="E366" s="200"/>
      <c r="F366" s="200"/>
      <c r="G366" s="200"/>
      <c r="H366" s="200"/>
    </row>
    <row r="367">
      <c r="A367" s="200"/>
      <c r="B367" s="200"/>
      <c r="C367" s="200"/>
      <c r="D367" s="201"/>
      <c r="E367" s="200"/>
      <c r="F367" s="200"/>
      <c r="G367" s="200"/>
      <c r="H367" s="200"/>
    </row>
    <row r="368">
      <c r="A368" s="200"/>
      <c r="B368" s="200"/>
      <c r="C368" s="200"/>
      <c r="D368" s="201"/>
      <c r="E368" s="200"/>
      <c r="F368" s="200"/>
      <c r="G368" s="200"/>
      <c r="H368" s="200"/>
    </row>
    <row r="369">
      <c r="A369" s="200"/>
      <c r="B369" s="200"/>
      <c r="C369" s="200"/>
      <c r="D369" s="201"/>
      <c r="E369" s="200"/>
      <c r="F369" s="200"/>
      <c r="G369" s="200"/>
      <c r="H369" s="200"/>
    </row>
    <row r="370">
      <c r="A370" s="200"/>
      <c r="B370" s="200"/>
      <c r="C370" s="200"/>
      <c r="D370" s="201"/>
      <c r="E370" s="200"/>
      <c r="F370" s="200"/>
      <c r="G370" s="200"/>
      <c r="H370" s="200"/>
    </row>
    <row r="371">
      <c r="A371" s="200"/>
      <c r="B371" s="200"/>
      <c r="C371" s="200"/>
      <c r="D371" s="201"/>
      <c r="E371" s="200"/>
      <c r="F371" s="200"/>
      <c r="G371" s="200"/>
      <c r="H371" s="200"/>
    </row>
    <row r="372">
      <c r="A372" s="200"/>
      <c r="B372" s="200"/>
      <c r="C372" s="200"/>
      <c r="D372" s="201"/>
      <c r="E372" s="200"/>
      <c r="F372" s="200"/>
      <c r="G372" s="200"/>
      <c r="H372" s="200"/>
    </row>
    <row r="373">
      <c r="A373" s="200"/>
      <c r="B373" s="200"/>
      <c r="C373" s="200"/>
      <c r="D373" s="201"/>
      <c r="E373" s="200"/>
      <c r="F373" s="200"/>
      <c r="G373" s="200"/>
      <c r="H373" s="200"/>
    </row>
    <row r="374">
      <c r="A374" s="200"/>
      <c r="B374" s="200"/>
      <c r="C374" s="200"/>
      <c r="D374" s="201"/>
      <c r="E374" s="200"/>
      <c r="F374" s="200"/>
      <c r="G374" s="200"/>
      <c r="H374" s="200"/>
    </row>
    <row r="375">
      <c r="A375" s="200"/>
      <c r="B375" s="200"/>
      <c r="C375" s="200"/>
      <c r="D375" s="201"/>
      <c r="E375" s="200"/>
      <c r="F375" s="200"/>
      <c r="G375" s="200"/>
      <c r="H375" s="200"/>
    </row>
    <row r="376">
      <c r="A376" s="200"/>
      <c r="B376" s="200"/>
      <c r="C376" s="200"/>
      <c r="D376" s="201"/>
      <c r="E376" s="200"/>
      <c r="F376" s="200"/>
      <c r="G376" s="200"/>
      <c r="H376" s="200"/>
    </row>
    <row r="377">
      <c r="A377" s="200"/>
      <c r="B377" s="200"/>
      <c r="C377" s="200"/>
      <c r="D377" s="201"/>
      <c r="E377" s="200"/>
      <c r="F377" s="200"/>
      <c r="G377" s="200"/>
      <c r="H377" s="200"/>
    </row>
    <row r="378">
      <c r="A378" s="200"/>
      <c r="B378" s="200"/>
      <c r="C378" s="200"/>
      <c r="D378" s="201"/>
      <c r="E378" s="200"/>
      <c r="F378" s="200"/>
      <c r="G378" s="200"/>
      <c r="H378" s="200"/>
    </row>
    <row r="379">
      <c r="A379" s="200"/>
      <c r="B379" s="200"/>
      <c r="C379" s="200"/>
      <c r="D379" s="201"/>
      <c r="E379" s="200"/>
      <c r="F379" s="200"/>
      <c r="G379" s="200"/>
      <c r="H379" s="200"/>
    </row>
    <row r="380">
      <c r="A380" s="200"/>
      <c r="B380" s="200"/>
      <c r="C380" s="200"/>
      <c r="D380" s="201"/>
      <c r="E380" s="200"/>
      <c r="F380" s="200"/>
      <c r="G380" s="200"/>
      <c r="H380" s="200"/>
    </row>
    <row r="381">
      <c r="A381" s="200"/>
      <c r="B381" s="200"/>
      <c r="C381" s="200"/>
      <c r="D381" s="201"/>
      <c r="E381" s="200"/>
      <c r="F381" s="200"/>
      <c r="G381" s="200"/>
      <c r="H381" s="200"/>
    </row>
    <row r="382">
      <c r="A382" s="200"/>
      <c r="B382" s="200"/>
      <c r="C382" s="200"/>
      <c r="D382" s="201"/>
      <c r="E382" s="200"/>
      <c r="F382" s="200"/>
      <c r="G382" s="200"/>
      <c r="H382" s="200"/>
    </row>
    <row r="383">
      <c r="A383" s="200"/>
      <c r="B383" s="200"/>
      <c r="C383" s="200"/>
      <c r="D383" s="201"/>
      <c r="E383" s="200"/>
      <c r="F383" s="200"/>
      <c r="G383" s="200"/>
      <c r="H383" s="200"/>
    </row>
    <row r="384">
      <c r="A384" s="200"/>
      <c r="B384" s="200"/>
      <c r="C384" s="200"/>
      <c r="D384" s="201"/>
      <c r="E384" s="200"/>
      <c r="F384" s="200"/>
      <c r="G384" s="200"/>
      <c r="H384" s="200"/>
    </row>
    <row r="385">
      <c r="A385" s="200"/>
      <c r="B385" s="200"/>
      <c r="C385" s="200"/>
      <c r="D385" s="201"/>
      <c r="E385" s="200"/>
      <c r="F385" s="200"/>
      <c r="G385" s="200"/>
      <c r="H385" s="200"/>
    </row>
    <row r="386">
      <c r="A386" s="200"/>
      <c r="B386" s="200"/>
      <c r="C386" s="200"/>
      <c r="D386" s="201"/>
      <c r="E386" s="200"/>
      <c r="F386" s="200"/>
      <c r="G386" s="200"/>
      <c r="H386" s="200"/>
    </row>
    <row r="387">
      <c r="A387" s="200"/>
      <c r="B387" s="200"/>
      <c r="C387" s="200"/>
      <c r="D387" s="201"/>
      <c r="E387" s="200"/>
      <c r="F387" s="200"/>
      <c r="G387" s="200"/>
      <c r="H387" s="200"/>
    </row>
    <row r="388">
      <c r="A388" s="200"/>
      <c r="B388" s="200"/>
      <c r="C388" s="200"/>
      <c r="D388" s="201"/>
      <c r="E388" s="200"/>
      <c r="F388" s="200"/>
      <c r="G388" s="200"/>
      <c r="H388" s="200"/>
    </row>
    <row r="389">
      <c r="A389" s="200"/>
      <c r="B389" s="200"/>
      <c r="C389" s="200"/>
      <c r="D389" s="201"/>
      <c r="E389" s="200"/>
      <c r="F389" s="200"/>
      <c r="G389" s="200"/>
      <c r="H389" s="200"/>
    </row>
    <row r="390">
      <c r="A390" s="200"/>
      <c r="B390" s="200"/>
      <c r="C390" s="200"/>
      <c r="D390" s="201"/>
      <c r="E390" s="200"/>
      <c r="F390" s="200"/>
      <c r="G390" s="200"/>
      <c r="H390" s="200"/>
    </row>
    <row r="391">
      <c r="A391" s="200"/>
      <c r="B391" s="200"/>
      <c r="C391" s="200"/>
      <c r="D391" s="201"/>
      <c r="E391" s="200"/>
      <c r="F391" s="200"/>
      <c r="G391" s="200"/>
      <c r="H391" s="200"/>
    </row>
    <row r="392">
      <c r="A392" s="200"/>
      <c r="B392" s="200"/>
      <c r="C392" s="200"/>
      <c r="D392" s="201"/>
      <c r="E392" s="200"/>
      <c r="F392" s="200"/>
      <c r="G392" s="200"/>
      <c r="H392" s="200"/>
    </row>
    <row r="393">
      <c r="A393" s="200"/>
      <c r="B393" s="200"/>
      <c r="C393" s="200"/>
      <c r="D393" s="201"/>
      <c r="E393" s="200"/>
      <c r="F393" s="200"/>
      <c r="G393" s="200"/>
      <c r="H393" s="200"/>
    </row>
    <row r="394">
      <c r="A394" s="200"/>
      <c r="B394" s="200"/>
      <c r="C394" s="200"/>
      <c r="D394" s="201"/>
      <c r="E394" s="200"/>
      <c r="F394" s="200"/>
      <c r="G394" s="200"/>
      <c r="H394" s="200"/>
    </row>
    <row r="395">
      <c r="A395" s="200"/>
      <c r="B395" s="200"/>
      <c r="C395" s="200"/>
      <c r="D395" s="201"/>
      <c r="E395" s="200"/>
      <c r="F395" s="200"/>
      <c r="G395" s="200"/>
      <c r="H395" s="200"/>
    </row>
    <row r="396">
      <c r="A396" s="200"/>
      <c r="B396" s="200"/>
      <c r="C396" s="200"/>
      <c r="D396" s="201"/>
      <c r="E396" s="200"/>
      <c r="F396" s="200"/>
      <c r="G396" s="200"/>
      <c r="H396" s="200"/>
    </row>
    <row r="397">
      <c r="A397" s="200"/>
      <c r="B397" s="200"/>
      <c r="C397" s="200"/>
      <c r="D397" s="201"/>
      <c r="E397" s="200"/>
      <c r="F397" s="200"/>
      <c r="G397" s="200"/>
      <c r="H397" s="200"/>
    </row>
    <row r="398">
      <c r="A398" s="200"/>
      <c r="B398" s="200"/>
      <c r="C398" s="200"/>
      <c r="D398" s="201"/>
      <c r="E398" s="200"/>
      <c r="F398" s="200"/>
      <c r="G398" s="200"/>
      <c r="H398" s="200"/>
    </row>
    <row r="399">
      <c r="A399" s="200"/>
      <c r="B399" s="200"/>
      <c r="C399" s="200"/>
      <c r="D399" s="201"/>
      <c r="E399" s="200"/>
      <c r="F399" s="200"/>
      <c r="G399" s="200"/>
      <c r="H399" s="200"/>
    </row>
    <row r="400">
      <c r="A400" s="200"/>
      <c r="B400" s="200"/>
      <c r="C400" s="200"/>
      <c r="D400" s="201"/>
      <c r="E400" s="200"/>
      <c r="F400" s="200"/>
      <c r="G400" s="200"/>
      <c r="H400" s="200"/>
    </row>
    <row r="401">
      <c r="A401" s="200"/>
      <c r="B401" s="200"/>
      <c r="C401" s="200"/>
      <c r="D401" s="201"/>
      <c r="E401" s="200"/>
      <c r="F401" s="200"/>
      <c r="G401" s="200"/>
      <c r="H401" s="200"/>
    </row>
    <row r="402">
      <c r="A402" s="200"/>
      <c r="B402" s="200"/>
      <c r="C402" s="200"/>
      <c r="D402" s="201"/>
      <c r="E402" s="200"/>
      <c r="F402" s="200"/>
      <c r="G402" s="200"/>
      <c r="H402" s="200"/>
    </row>
    <row r="403">
      <c r="A403" s="200"/>
      <c r="B403" s="200"/>
      <c r="C403" s="200"/>
      <c r="D403" s="201"/>
      <c r="E403" s="200"/>
      <c r="F403" s="200"/>
      <c r="G403" s="200"/>
      <c r="H403" s="200"/>
    </row>
    <row r="404">
      <c r="A404" s="200"/>
      <c r="B404" s="200"/>
      <c r="C404" s="200"/>
      <c r="D404" s="201"/>
      <c r="E404" s="200"/>
      <c r="F404" s="200"/>
      <c r="G404" s="200"/>
      <c r="H404" s="200"/>
    </row>
    <row r="405">
      <c r="A405" s="200"/>
      <c r="B405" s="200"/>
      <c r="C405" s="200"/>
      <c r="D405" s="201"/>
      <c r="E405" s="200"/>
      <c r="F405" s="200"/>
      <c r="G405" s="200"/>
      <c r="H405" s="200"/>
    </row>
    <row r="406">
      <c r="A406" s="200"/>
      <c r="B406" s="200"/>
      <c r="C406" s="200"/>
      <c r="D406" s="201"/>
      <c r="E406" s="200"/>
      <c r="F406" s="200"/>
      <c r="G406" s="200"/>
      <c r="H406" s="200"/>
    </row>
    <row r="407">
      <c r="A407" s="200"/>
      <c r="B407" s="200"/>
      <c r="C407" s="200"/>
      <c r="D407" s="201"/>
      <c r="E407" s="200"/>
      <c r="F407" s="200"/>
      <c r="G407" s="200"/>
      <c r="H407" s="200"/>
    </row>
    <row r="408">
      <c r="A408" s="200"/>
      <c r="B408" s="200"/>
      <c r="C408" s="200"/>
      <c r="D408" s="201"/>
      <c r="E408" s="200"/>
      <c r="F408" s="200"/>
      <c r="G408" s="200"/>
      <c r="H408" s="200"/>
    </row>
    <row r="409">
      <c r="A409" s="200"/>
      <c r="B409" s="200"/>
      <c r="C409" s="200"/>
      <c r="D409" s="201"/>
      <c r="E409" s="200"/>
      <c r="F409" s="200"/>
      <c r="G409" s="200"/>
      <c r="H409" s="200"/>
    </row>
    <row r="410">
      <c r="A410" s="200"/>
      <c r="B410" s="200"/>
      <c r="C410" s="200"/>
      <c r="D410" s="201"/>
      <c r="E410" s="200"/>
      <c r="F410" s="200"/>
      <c r="G410" s="200"/>
      <c r="H410" s="200"/>
    </row>
    <row r="411">
      <c r="A411" s="200"/>
      <c r="B411" s="200"/>
      <c r="C411" s="200"/>
      <c r="D411" s="201"/>
      <c r="E411" s="200"/>
      <c r="F411" s="200"/>
      <c r="G411" s="200"/>
      <c r="H411" s="200"/>
    </row>
    <row r="412">
      <c r="A412" s="200"/>
      <c r="B412" s="200"/>
      <c r="C412" s="200"/>
      <c r="D412" s="201"/>
      <c r="E412" s="200"/>
      <c r="F412" s="200"/>
      <c r="G412" s="200"/>
      <c r="H412" s="200"/>
    </row>
    <row r="413">
      <c r="A413" s="200"/>
      <c r="B413" s="200"/>
      <c r="C413" s="200"/>
      <c r="D413" s="201"/>
      <c r="E413" s="200"/>
      <c r="F413" s="200"/>
      <c r="G413" s="200"/>
      <c r="H413" s="200"/>
    </row>
    <row r="414">
      <c r="A414" s="200"/>
      <c r="B414" s="200"/>
      <c r="C414" s="200"/>
      <c r="D414" s="201"/>
      <c r="E414" s="200"/>
      <c r="F414" s="200"/>
      <c r="G414" s="200"/>
      <c r="H414" s="200"/>
    </row>
    <row r="415">
      <c r="A415" s="200"/>
      <c r="B415" s="200"/>
      <c r="C415" s="200"/>
      <c r="D415" s="201"/>
      <c r="E415" s="200"/>
      <c r="F415" s="200"/>
      <c r="G415" s="200"/>
      <c r="H415" s="200"/>
    </row>
    <row r="416">
      <c r="A416" s="200"/>
      <c r="B416" s="200"/>
      <c r="C416" s="200"/>
      <c r="D416" s="201"/>
      <c r="E416" s="200"/>
      <c r="F416" s="200"/>
      <c r="G416" s="200"/>
      <c r="H416" s="200"/>
    </row>
    <row r="417">
      <c r="A417" s="200"/>
      <c r="B417" s="200"/>
      <c r="C417" s="200"/>
      <c r="D417" s="201"/>
      <c r="E417" s="200"/>
      <c r="F417" s="200"/>
      <c r="G417" s="200"/>
      <c r="H417" s="200"/>
    </row>
    <row r="418">
      <c r="A418" s="200"/>
      <c r="B418" s="200"/>
      <c r="C418" s="200"/>
      <c r="D418" s="201"/>
      <c r="E418" s="200"/>
      <c r="F418" s="200"/>
      <c r="G418" s="200"/>
      <c r="H418" s="200"/>
    </row>
    <row r="419">
      <c r="A419" s="200"/>
      <c r="B419" s="200"/>
      <c r="C419" s="200"/>
      <c r="D419" s="201"/>
      <c r="E419" s="200"/>
      <c r="F419" s="200"/>
      <c r="G419" s="200"/>
      <c r="H419" s="200"/>
    </row>
    <row r="420">
      <c r="A420" s="200"/>
      <c r="B420" s="200"/>
      <c r="C420" s="200"/>
      <c r="D420" s="201"/>
      <c r="E420" s="200"/>
      <c r="F420" s="200"/>
      <c r="G420" s="200"/>
      <c r="H420" s="200"/>
    </row>
    <row r="421">
      <c r="A421" s="200"/>
      <c r="B421" s="200"/>
      <c r="C421" s="200"/>
      <c r="D421" s="201"/>
      <c r="E421" s="200"/>
      <c r="F421" s="200"/>
      <c r="G421" s="200"/>
      <c r="H421" s="200"/>
    </row>
    <row r="422">
      <c r="A422" s="200"/>
      <c r="B422" s="200"/>
      <c r="C422" s="200"/>
      <c r="D422" s="201"/>
      <c r="E422" s="200"/>
      <c r="F422" s="200"/>
      <c r="G422" s="200"/>
      <c r="H422" s="200"/>
    </row>
    <row r="423">
      <c r="A423" s="200"/>
      <c r="B423" s="200"/>
      <c r="C423" s="200"/>
      <c r="D423" s="201"/>
      <c r="E423" s="200"/>
      <c r="F423" s="200"/>
      <c r="G423" s="200"/>
      <c r="H423" s="200"/>
    </row>
    <row r="424">
      <c r="A424" s="200"/>
      <c r="B424" s="200"/>
      <c r="C424" s="200"/>
      <c r="D424" s="201"/>
      <c r="E424" s="200"/>
      <c r="F424" s="200"/>
      <c r="G424" s="200"/>
      <c r="H424" s="200"/>
    </row>
    <row r="425">
      <c r="A425" s="200"/>
      <c r="B425" s="200"/>
      <c r="C425" s="200"/>
      <c r="D425" s="201"/>
      <c r="E425" s="200"/>
      <c r="F425" s="200"/>
      <c r="G425" s="200"/>
      <c r="H425" s="200"/>
    </row>
    <row r="426">
      <c r="A426" s="200"/>
      <c r="B426" s="200"/>
      <c r="C426" s="200"/>
      <c r="D426" s="201"/>
      <c r="E426" s="200"/>
      <c r="F426" s="200"/>
      <c r="G426" s="200"/>
      <c r="H426" s="200"/>
    </row>
    <row r="427">
      <c r="A427" s="200"/>
      <c r="B427" s="200"/>
      <c r="C427" s="200"/>
      <c r="D427" s="201"/>
      <c r="E427" s="200"/>
      <c r="F427" s="200"/>
      <c r="G427" s="200"/>
      <c r="H427" s="200"/>
    </row>
    <row r="428">
      <c r="A428" s="200"/>
      <c r="B428" s="200"/>
      <c r="C428" s="200"/>
      <c r="D428" s="201"/>
      <c r="E428" s="200"/>
      <c r="F428" s="200"/>
      <c r="G428" s="200"/>
      <c r="H428" s="200"/>
    </row>
    <row r="429">
      <c r="A429" s="200"/>
      <c r="B429" s="200"/>
      <c r="C429" s="200"/>
      <c r="D429" s="201"/>
      <c r="E429" s="200"/>
      <c r="F429" s="200"/>
      <c r="G429" s="200"/>
      <c r="H429" s="200"/>
    </row>
    <row r="430">
      <c r="A430" s="200"/>
      <c r="B430" s="200"/>
      <c r="C430" s="200"/>
      <c r="D430" s="201"/>
      <c r="E430" s="200"/>
      <c r="F430" s="200"/>
      <c r="G430" s="200"/>
      <c r="H430" s="200"/>
    </row>
    <row r="431">
      <c r="A431" s="200"/>
      <c r="B431" s="200"/>
      <c r="C431" s="200"/>
      <c r="D431" s="201"/>
      <c r="E431" s="200"/>
      <c r="F431" s="200"/>
      <c r="G431" s="200"/>
      <c r="H431" s="200"/>
    </row>
    <row r="432">
      <c r="A432" s="200"/>
      <c r="B432" s="200"/>
      <c r="C432" s="200"/>
      <c r="D432" s="201"/>
      <c r="E432" s="200"/>
      <c r="F432" s="200"/>
      <c r="G432" s="200"/>
      <c r="H432" s="200"/>
    </row>
    <row r="433">
      <c r="A433" s="200"/>
      <c r="B433" s="200"/>
      <c r="C433" s="200"/>
      <c r="D433" s="201"/>
      <c r="E433" s="200"/>
      <c r="F433" s="200"/>
      <c r="G433" s="200"/>
      <c r="H433" s="200"/>
    </row>
    <row r="434">
      <c r="A434" s="200"/>
      <c r="B434" s="200"/>
      <c r="C434" s="200"/>
      <c r="D434" s="201"/>
      <c r="E434" s="200"/>
      <c r="F434" s="200"/>
      <c r="G434" s="200"/>
      <c r="H434" s="200"/>
    </row>
    <row r="435">
      <c r="A435" s="200"/>
      <c r="B435" s="200"/>
      <c r="C435" s="200"/>
      <c r="D435" s="201"/>
      <c r="E435" s="200"/>
      <c r="F435" s="200"/>
      <c r="G435" s="200"/>
      <c r="H435" s="200"/>
    </row>
    <row r="436">
      <c r="A436" s="200"/>
      <c r="B436" s="200"/>
      <c r="C436" s="200"/>
      <c r="D436" s="201"/>
      <c r="E436" s="200"/>
      <c r="F436" s="200"/>
      <c r="G436" s="200"/>
      <c r="H436" s="200"/>
    </row>
    <row r="437">
      <c r="A437" s="200"/>
      <c r="B437" s="200"/>
      <c r="C437" s="200"/>
      <c r="D437" s="201"/>
      <c r="E437" s="200"/>
      <c r="F437" s="200"/>
      <c r="G437" s="200"/>
      <c r="H437" s="200"/>
    </row>
    <row r="438">
      <c r="A438" s="200"/>
      <c r="B438" s="200"/>
      <c r="C438" s="200"/>
      <c r="D438" s="201"/>
      <c r="E438" s="200"/>
      <c r="F438" s="200"/>
      <c r="G438" s="200"/>
      <c r="H438" s="200"/>
    </row>
    <row r="439">
      <c r="A439" s="200"/>
      <c r="B439" s="200"/>
      <c r="C439" s="200"/>
      <c r="D439" s="201"/>
      <c r="E439" s="200"/>
      <c r="F439" s="200"/>
      <c r="G439" s="200"/>
      <c r="H439" s="200"/>
    </row>
    <row r="440">
      <c r="A440" s="200"/>
      <c r="B440" s="200"/>
      <c r="C440" s="200"/>
      <c r="D440" s="201"/>
      <c r="E440" s="200"/>
      <c r="F440" s="200"/>
      <c r="G440" s="200"/>
      <c r="H440" s="200"/>
    </row>
    <row r="441">
      <c r="A441" s="200"/>
      <c r="B441" s="200"/>
      <c r="C441" s="200"/>
      <c r="D441" s="201"/>
      <c r="E441" s="200"/>
      <c r="F441" s="200"/>
      <c r="G441" s="200"/>
      <c r="H441" s="200"/>
    </row>
    <row r="442">
      <c r="A442" s="200"/>
      <c r="B442" s="200"/>
      <c r="C442" s="200"/>
      <c r="D442" s="201"/>
      <c r="E442" s="200"/>
      <c r="F442" s="200"/>
      <c r="G442" s="200"/>
      <c r="H442" s="200"/>
    </row>
    <row r="443">
      <c r="A443" s="200"/>
      <c r="B443" s="200"/>
      <c r="C443" s="200"/>
      <c r="D443" s="201"/>
      <c r="E443" s="200"/>
      <c r="F443" s="200"/>
      <c r="G443" s="200"/>
      <c r="H443" s="200"/>
    </row>
    <row r="444">
      <c r="A444" s="200"/>
      <c r="B444" s="200"/>
      <c r="C444" s="200"/>
      <c r="D444" s="201"/>
      <c r="E444" s="200"/>
      <c r="F444" s="200"/>
      <c r="G444" s="200"/>
      <c r="H444" s="200"/>
    </row>
    <row r="445">
      <c r="A445" s="200"/>
      <c r="B445" s="200"/>
      <c r="C445" s="200"/>
      <c r="D445" s="201"/>
      <c r="E445" s="200"/>
      <c r="F445" s="200"/>
      <c r="G445" s="200"/>
      <c r="H445" s="200"/>
    </row>
    <row r="446">
      <c r="A446" s="200"/>
      <c r="B446" s="200"/>
      <c r="C446" s="200"/>
      <c r="D446" s="201"/>
      <c r="E446" s="200"/>
      <c r="F446" s="200"/>
      <c r="G446" s="200"/>
      <c r="H446" s="200"/>
    </row>
    <row r="447">
      <c r="A447" s="200"/>
      <c r="B447" s="200"/>
      <c r="C447" s="200"/>
      <c r="D447" s="201"/>
      <c r="E447" s="200"/>
      <c r="F447" s="200"/>
      <c r="G447" s="200"/>
      <c r="H447" s="200"/>
    </row>
    <row r="448">
      <c r="A448" s="200"/>
      <c r="B448" s="200"/>
      <c r="C448" s="200"/>
      <c r="D448" s="201"/>
      <c r="E448" s="200"/>
      <c r="F448" s="200"/>
      <c r="G448" s="200"/>
      <c r="H448" s="200"/>
    </row>
    <row r="449">
      <c r="A449" s="200"/>
      <c r="B449" s="200"/>
      <c r="C449" s="200"/>
      <c r="D449" s="201"/>
      <c r="E449" s="200"/>
      <c r="F449" s="200"/>
      <c r="G449" s="200"/>
      <c r="H449" s="200"/>
    </row>
    <row r="450">
      <c r="A450" s="200"/>
      <c r="B450" s="200"/>
      <c r="C450" s="200"/>
      <c r="D450" s="201"/>
      <c r="E450" s="200"/>
      <c r="F450" s="200"/>
      <c r="G450" s="200"/>
      <c r="H450" s="200"/>
    </row>
    <row r="451">
      <c r="A451" s="200"/>
      <c r="B451" s="200"/>
      <c r="C451" s="200"/>
      <c r="D451" s="201"/>
      <c r="E451" s="200"/>
      <c r="F451" s="200"/>
      <c r="G451" s="200"/>
      <c r="H451" s="200"/>
    </row>
    <row r="452">
      <c r="A452" s="200"/>
      <c r="B452" s="200"/>
      <c r="C452" s="200"/>
      <c r="D452" s="201"/>
      <c r="E452" s="200"/>
      <c r="F452" s="200"/>
      <c r="G452" s="200"/>
      <c r="H452" s="200"/>
    </row>
    <row r="453">
      <c r="A453" s="200"/>
      <c r="B453" s="200"/>
      <c r="C453" s="200"/>
      <c r="D453" s="201"/>
      <c r="E453" s="200"/>
      <c r="F453" s="200"/>
      <c r="G453" s="200"/>
      <c r="H453" s="200"/>
    </row>
    <row r="454">
      <c r="A454" s="200"/>
      <c r="B454" s="200"/>
      <c r="C454" s="200"/>
      <c r="D454" s="201"/>
      <c r="E454" s="200"/>
      <c r="F454" s="200"/>
      <c r="G454" s="200"/>
      <c r="H454" s="200"/>
    </row>
    <row r="455">
      <c r="A455" s="200"/>
      <c r="B455" s="200"/>
      <c r="C455" s="200"/>
      <c r="D455" s="201"/>
      <c r="E455" s="200"/>
      <c r="F455" s="200"/>
      <c r="G455" s="200"/>
      <c r="H455" s="200"/>
    </row>
    <row r="456">
      <c r="A456" s="200"/>
      <c r="B456" s="200"/>
      <c r="C456" s="200"/>
      <c r="D456" s="201"/>
      <c r="E456" s="200"/>
      <c r="F456" s="200"/>
      <c r="G456" s="200"/>
      <c r="H456" s="200"/>
    </row>
    <row r="457">
      <c r="A457" s="200"/>
      <c r="B457" s="200"/>
      <c r="C457" s="200"/>
      <c r="D457" s="201"/>
      <c r="E457" s="200"/>
      <c r="F457" s="200"/>
      <c r="G457" s="200"/>
      <c r="H457" s="200"/>
    </row>
    <row r="458">
      <c r="A458" s="200"/>
      <c r="B458" s="200"/>
      <c r="C458" s="200"/>
      <c r="D458" s="201"/>
      <c r="E458" s="200"/>
      <c r="F458" s="200"/>
      <c r="G458" s="200"/>
      <c r="H458" s="200"/>
    </row>
    <row r="459">
      <c r="A459" s="200"/>
      <c r="B459" s="200"/>
      <c r="C459" s="200"/>
      <c r="D459" s="201"/>
      <c r="E459" s="200"/>
      <c r="F459" s="200"/>
      <c r="G459" s="200"/>
      <c r="H459" s="200"/>
    </row>
    <row r="460">
      <c r="A460" s="200"/>
      <c r="B460" s="200"/>
      <c r="C460" s="200"/>
      <c r="D460" s="201"/>
      <c r="E460" s="200"/>
      <c r="F460" s="200"/>
      <c r="G460" s="200"/>
      <c r="H460" s="200"/>
    </row>
    <row r="461">
      <c r="A461" s="200"/>
      <c r="B461" s="200"/>
      <c r="C461" s="200"/>
      <c r="D461" s="201"/>
      <c r="E461" s="200"/>
      <c r="F461" s="200"/>
      <c r="G461" s="200"/>
      <c r="H461" s="200"/>
    </row>
    <row r="462">
      <c r="A462" s="200"/>
      <c r="B462" s="200"/>
      <c r="C462" s="200"/>
      <c r="D462" s="201"/>
      <c r="E462" s="200"/>
      <c r="F462" s="200"/>
      <c r="G462" s="200"/>
      <c r="H462" s="200"/>
    </row>
    <row r="463">
      <c r="A463" s="200"/>
      <c r="B463" s="200"/>
      <c r="C463" s="200"/>
      <c r="D463" s="201"/>
      <c r="E463" s="200"/>
      <c r="F463" s="200"/>
      <c r="G463" s="200"/>
      <c r="H463" s="200"/>
    </row>
    <row r="464">
      <c r="A464" s="200"/>
      <c r="B464" s="200"/>
      <c r="C464" s="200"/>
      <c r="D464" s="201"/>
      <c r="E464" s="200"/>
      <c r="F464" s="200"/>
      <c r="G464" s="200"/>
      <c r="H464" s="200"/>
    </row>
    <row r="465">
      <c r="A465" s="200"/>
      <c r="B465" s="200"/>
      <c r="C465" s="200"/>
      <c r="D465" s="201"/>
      <c r="E465" s="200"/>
      <c r="F465" s="200"/>
      <c r="G465" s="200"/>
      <c r="H465" s="200"/>
    </row>
    <row r="466">
      <c r="A466" s="200"/>
      <c r="B466" s="200"/>
      <c r="C466" s="200"/>
      <c r="D466" s="201"/>
      <c r="E466" s="200"/>
      <c r="F466" s="200"/>
      <c r="G466" s="200"/>
      <c r="H466" s="200"/>
    </row>
    <row r="467">
      <c r="A467" s="200"/>
      <c r="B467" s="200"/>
      <c r="C467" s="200"/>
      <c r="D467" s="201"/>
      <c r="E467" s="200"/>
      <c r="F467" s="200"/>
      <c r="G467" s="200"/>
      <c r="H467" s="200"/>
    </row>
    <row r="468">
      <c r="A468" s="200"/>
      <c r="B468" s="200"/>
      <c r="C468" s="200"/>
      <c r="D468" s="201"/>
      <c r="E468" s="200"/>
      <c r="F468" s="200"/>
      <c r="G468" s="200"/>
      <c r="H468" s="200"/>
    </row>
    <row r="469">
      <c r="A469" s="200"/>
      <c r="B469" s="200"/>
      <c r="C469" s="200"/>
      <c r="D469" s="201"/>
      <c r="E469" s="200"/>
      <c r="F469" s="200"/>
      <c r="G469" s="200"/>
      <c r="H469" s="200"/>
    </row>
    <row r="470">
      <c r="A470" s="200"/>
      <c r="B470" s="200"/>
      <c r="C470" s="200"/>
      <c r="D470" s="201"/>
      <c r="E470" s="200"/>
      <c r="F470" s="200"/>
      <c r="G470" s="200"/>
      <c r="H470" s="200"/>
    </row>
    <row r="471">
      <c r="A471" s="200"/>
      <c r="B471" s="200"/>
      <c r="C471" s="200"/>
      <c r="D471" s="201"/>
      <c r="E471" s="200"/>
      <c r="F471" s="200"/>
      <c r="G471" s="200"/>
      <c r="H471" s="200"/>
    </row>
    <row r="472">
      <c r="A472" s="200"/>
      <c r="B472" s="200"/>
      <c r="C472" s="200"/>
      <c r="D472" s="201"/>
      <c r="E472" s="200"/>
      <c r="F472" s="200"/>
      <c r="G472" s="200"/>
      <c r="H472" s="200"/>
    </row>
    <row r="473">
      <c r="A473" s="200"/>
      <c r="B473" s="200"/>
      <c r="C473" s="200"/>
      <c r="D473" s="201"/>
      <c r="E473" s="200"/>
      <c r="F473" s="200"/>
      <c r="G473" s="200"/>
      <c r="H473" s="200"/>
    </row>
    <row r="474">
      <c r="A474" s="200"/>
      <c r="B474" s="200"/>
      <c r="C474" s="200"/>
      <c r="D474" s="201"/>
      <c r="E474" s="200"/>
      <c r="F474" s="200"/>
      <c r="G474" s="200"/>
      <c r="H474" s="200"/>
    </row>
    <row r="475">
      <c r="A475" s="200"/>
      <c r="B475" s="200"/>
      <c r="C475" s="200"/>
      <c r="D475" s="201"/>
      <c r="E475" s="200"/>
      <c r="F475" s="200"/>
      <c r="G475" s="200"/>
      <c r="H475" s="200"/>
    </row>
    <row r="476">
      <c r="A476" s="200"/>
      <c r="B476" s="200"/>
      <c r="C476" s="200"/>
      <c r="D476" s="201"/>
      <c r="E476" s="200"/>
      <c r="F476" s="200"/>
      <c r="G476" s="200"/>
      <c r="H476" s="200"/>
    </row>
    <row r="477">
      <c r="A477" s="200"/>
      <c r="B477" s="200"/>
      <c r="C477" s="200"/>
      <c r="D477" s="201"/>
      <c r="E477" s="200"/>
      <c r="F477" s="200"/>
      <c r="G477" s="200"/>
      <c r="H477" s="200"/>
    </row>
    <row r="478">
      <c r="A478" s="200"/>
      <c r="B478" s="200"/>
      <c r="C478" s="200"/>
      <c r="D478" s="201"/>
      <c r="E478" s="200"/>
      <c r="F478" s="200"/>
      <c r="G478" s="200"/>
      <c r="H478" s="200"/>
    </row>
    <row r="479">
      <c r="A479" s="200"/>
      <c r="B479" s="200"/>
      <c r="C479" s="200"/>
      <c r="D479" s="201"/>
      <c r="E479" s="200"/>
      <c r="F479" s="200"/>
      <c r="G479" s="200"/>
      <c r="H479" s="200"/>
    </row>
    <row r="480">
      <c r="A480" s="200"/>
      <c r="B480" s="200"/>
      <c r="C480" s="200"/>
      <c r="D480" s="201"/>
      <c r="E480" s="200"/>
      <c r="F480" s="200"/>
      <c r="G480" s="200"/>
      <c r="H480" s="200"/>
    </row>
    <row r="481">
      <c r="A481" s="200"/>
      <c r="B481" s="200"/>
      <c r="C481" s="200"/>
      <c r="D481" s="201"/>
      <c r="E481" s="200"/>
      <c r="F481" s="200"/>
      <c r="G481" s="200"/>
      <c r="H481" s="200"/>
    </row>
    <row r="482">
      <c r="A482" s="200"/>
      <c r="B482" s="200"/>
      <c r="C482" s="200"/>
      <c r="D482" s="201"/>
      <c r="E482" s="200"/>
      <c r="F482" s="200"/>
      <c r="G482" s="200"/>
      <c r="H482" s="200"/>
    </row>
    <row r="483">
      <c r="A483" s="200"/>
      <c r="B483" s="200"/>
      <c r="C483" s="200"/>
      <c r="D483" s="201"/>
      <c r="E483" s="200"/>
      <c r="F483" s="200"/>
      <c r="G483" s="200"/>
      <c r="H483" s="200"/>
    </row>
    <row r="484">
      <c r="A484" s="200"/>
      <c r="B484" s="200"/>
      <c r="C484" s="200"/>
      <c r="D484" s="201"/>
      <c r="E484" s="200"/>
      <c r="F484" s="200"/>
      <c r="G484" s="200"/>
      <c r="H484" s="200"/>
    </row>
    <row r="485">
      <c r="A485" s="200"/>
      <c r="B485" s="200"/>
      <c r="C485" s="200"/>
      <c r="D485" s="201"/>
      <c r="E485" s="200"/>
      <c r="F485" s="200"/>
      <c r="G485" s="200"/>
      <c r="H485" s="200"/>
    </row>
    <row r="486">
      <c r="A486" s="200"/>
      <c r="B486" s="200"/>
      <c r="C486" s="200"/>
      <c r="D486" s="201"/>
      <c r="E486" s="200"/>
      <c r="F486" s="200"/>
      <c r="G486" s="200"/>
      <c r="H486" s="200"/>
    </row>
    <row r="487">
      <c r="A487" s="200"/>
      <c r="B487" s="200"/>
      <c r="C487" s="200"/>
      <c r="D487" s="201"/>
      <c r="E487" s="200"/>
      <c r="F487" s="200"/>
      <c r="G487" s="200"/>
      <c r="H487" s="200"/>
    </row>
    <row r="488">
      <c r="A488" s="200"/>
      <c r="B488" s="200"/>
      <c r="C488" s="200"/>
      <c r="D488" s="201"/>
      <c r="E488" s="200"/>
      <c r="F488" s="200"/>
      <c r="G488" s="200"/>
      <c r="H488" s="200"/>
    </row>
    <row r="489">
      <c r="A489" s="200"/>
      <c r="B489" s="200"/>
      <c r="C489" s="200"/>
      <c r="D489" s="201"/>
      <c r="E489" s="200"/>
      <c r="F489" s="200"/>
      <c r="G489" s="200"/>
      <c r="H489" s="200"/>
    </row>
    <row r="490">
      <c r="A490" s="200"/>
      <c r="B490" s="200"/>
      <c r="C490" s="200"/>
      <c r="D490" s="201"/>
      <c r="E490" s="200"/>
      <c r="F490" s="200"/>
      <c r="G490" s="200"/>
      <c r="H490" s="200"/>
    </row>
    <row r="491">
      <c r="A491" s="200"/>
      <c r="B491" s="200"/>
      <c r="C491" s="200"/>
      <c r="D491" s="201"/>
      <c r="E491" s="200"/>
      <c r="F491" s="200"/>
      <c r="G491" s="200"/>
      <c r="H491" s="200"/>
    </row>
    <row r="492">
      <c r="A492" s="200"/>
      <c r="B492" s="200"/>
      <c r="C492" s="200"/>
      <c r="D492" s="201"/>
      <c r="E492" s="200"/>
      <c r="F492" s="200"/>
      <c r="G492" s="200"/>
      <c r="H492" s="200"/>
    </row>
    <row r="493">
      <c r="A493" s="200"/>
      <c r="B493" s="200"/>
      <c r="C493" s="200"/>
      <c r="D493" s="201"/>
      <c r="E493" s="200"/>
      <c r="F493" s="200"/>
      <c r="G493" s="200"/>
      <c r="H493" s="200"/>
    </row>
    <row r="494">
      <c r="A494" s="200"/>
      <c r="B494" s="200"/>
      <c r="C494" s="200"/>
      <c r="D494" s="201"/>
      <c r="E494" s="200"/>
      <c r="F494" s="200"/>
      <c r="G494" s="200"/>
      <c r="H494" s="200"/>
    </row>
    <row r="495">
      <c r="A495" s="200"/>
      <c r="B495" s="200"/>
      <c r="C495" s="200"/>
      <c r="D495" s="201"/>
      <c r="E495" s="200"/>
      <c r="F495" s="200"/>
      <c r="G495" s="200"/>
      <c r="H495" s="200"/>
    </row>
    <row r="496">
      <c r="A496" s="200"/>
      <c r="B496" s="200"/>
      <c r="C496" s="200"/>
      <c r="D496" s="201"/>
      <c r="E496" s="200"/>
      <c r="F496" s="200"/>
      <c r="G496" s="200"/>
      <c r="H496" s="200"/>
    </row>
    <row r="497">
      <c r="A497" s="200"/>
      <c r="B497" s="200"/>
      <c r="C497" s="200"/>
      <c r="D497" s="201"/>
      <c r="E497" s="200"/>
      <c r="F497" s="200"/>
      <c r="G497" s="200"/>
      <c r="H497" s="200"/>
    </row>
    <row r="498">
      <c r="A498" s="200"/>
      <c r="B498" s="200"/>
      <c r="C498" s="200"/>
      <c r="D498" s="201"/>
      <c r="E498" s="200"/>
      <c r="F498" s="200"/>
      <c r="G498" s="200"/>
      <c r="H498" s="200"/>
    </row>
    <row r="499">
      <c r="A499" s="200"/>
      <c r="B499" s="200"/>
      <c r="C499" s="200"/>
      <c r="D499" s="201"/>
      <c r="E499" s="200"/>
      <c r="F499" s="200"/>
      <c r="G499" s="200"/>
      <c r="H499" s="200"/>
    </row>
    <row r="500">
      <c r="A500" s="200"/>
      <c r="B500" s="200"/>
      <c r="C500" s="200"/>
      <c r="D500" s="201"/>
      <c r="E500" s="200"/>
      <c r="F500" s="200"/>
      <c r="G500" s="200"/>
      <c r="H500" s="200"/>
    </row>
    <row r="501">
      <c r="A501" s="200"/>
      <c r="B501" s="200"/>
      <c r="C501" s="200"/>
      <c r="D501" s="201"/>
      <c r="E501" s="200"/>
      <c r="F501" s="200"/>
      <c r="G501" s="200"/>
      <c r="H501" s="200"/>
    </row>
    <row r="502">
      <c r="A502" s="200"/>
      <c r="B502" s="200"/>
      <c r="C502" s="200"/>
      <c r="D502" s="201"/>
      <c r="E502" s="200"/>
      <c r="F502" s="200"/>
      <c r="G502" s="200"/>
      <c r="H502" s="200"/>
    </row>
    <row r="503">
      <c r="A503" s="200"/>
      <c r="B503" s="200"/>
      <c r="C503" s="200"/>
      <c r="D503" s="201"/>
      <c r="E503" s="200"/>
      <c r="F503" s="200"/>
      <c r="G503" s="200"/>
      <c r="H503" s="200"/>
    </row>
    <row r="504">
      <c r="A504" s="200"/>
      <c r="B504" s="200"/>
      <c r="C504" s="200"/>
      <c r="D504" s="201"/>
      <c r="E504" s="200"/>
      <c r="F504" s="200"/>
      <c r="G504" s="200"/>
      <c r="H504" s="200"/>
    </row>
    <row r="505">
      <c r="A505" s="200"/>
      <c r="B505" s="200"/>
      <c r="C505" s="200"/>
      <c r="D505" s="201"/>
      <c r="E505" s="200"/>
      <c r="F505" s="200"/>
      <c r="G505" s="200"/>
      <c r="H505" s="200"/>
    </row>
    <row r="506">
      <c r="A506" s="200"/>
      <c r="B506" s="200"/>
      <c r="C506" s="200"/>
      <c r="D506" s="201"/>
      <c r="E506" s="200"/>
      <c r="F506" s="200"/>
      <c r="G506" s="200"/>
      <c r="H506" s="200"/>
    </row>
    <row r="507">
      <c r="A507" s="200"/>
      <c r="B507" s="200"/>
      <c r="C507" s="200"/>
      <c r="D507" s="201"/>
      <c r="E507" s="200"/>
      <c r="F507" s="200"/>
      <c r="G507" s="200"/>
      <c r="H507" s="200"/>
    </row>
    <row r="508">
      <c r="A508" s="200"/>
      <c r="B508" s="200"/>
      <c r="C508" s="200"/>
      <c r="D508" s="201"/>
      <c r="E508" s="200"/>
      <c r="F508" s="200"/>
      <c r="G508" s="200"/>
      <c r="H508" s="200"/>
    </row>
    <row r="509">
      <c r="A509" s="200"/>
      <c r="B509" s="200"/>
      <c r="C509" s="200"/>
      <c r="D509" s="201"/>
      <c r="E509" s="200"/>
      <c r="F509" s="200"/>
      <c r="G509" s="200"/>
      <c r="H509" s="200"/>
    </row>
    <row r="510">
      <c r="A510" s="200"/>
      <c r="B510" s="200"/>
      <c r="C510" s="200"/>
      <c r="D510" s="201"/>
      <c r="E510" s="200"/>
      <c r="F510" s="200"/>
      <c r="G510" s="200"/>
      <c r="H510" s="200"/>
    </row>
    <row r="511">
      <c r="A511" s="200"/>
      <c r="B511" s="200"/>
      <c r="C511" s="200"/>
      <c r="D511" s="201"/>
      <c r="E511" s="200"/>
      <c r="F511" s="200"/>
      <c r="G511" s="200"/>
      <c r="H511" s="200"/>
    </row>
    <row r="512">
      <c r="A512" s="200"/>
      <c r="B512" s="200"/>
      <c r="C512" s="200"/>
      <c r="D512" s="201"/>
      <c r="E512" s="200"/>
      <c r="F512" s="200"/>
      <c r="G512" s="200"/>
      <c r="H512" s="200"/>
    </row>
    <row r="513">
      <c r="A513" s="200"/>
      <c r="B513" s="200"/>
      <c r="C513" s="200"/>
      <c r="D513" s="201"/>
      <c r="E513" s="200"/>
      <c r="F513" s="200"/>
      <c r="G513" s="200"/>
      <c r="H513" s="200"/>
    </row>
    <row r="514">
      <c r="A514" s="200"/>
      <c r="B514" s="200"/>
      <c r="C514" s="200"/>
      <c r="D514" s="201"/>
      <c r="E514" s="200"/>
      <c r="F514" s="200"/>
      <c r="G514" s="200"/>
      <c r="H514" s="200"/>
    </row>
    <row r="515">
      <c r="A515" s="200"/>
      <c r="B515" s="200"/>
      <c r="C515" s="200"/>
      <c r="D515" s="201"/>
      <c r="E515" s="200"/>
      <c r="F515" s="200"/>
      <c r="G515" s="200"/>
      <c r="H515" s="200"/>
    </row>
    <row r="516">
      <c r="A516" s="200"/>
      <c r="B516" s="200"/>
      <c r="C516" s="200"/>
      <c r="D516" s="201"/>
      <c r="E516" s="200"/>
      <c r="F516" s="200"/>
      <c r="G516" s="200"/>
      <c r="H516" s="200"/>
    </row>
    <row r="517">
      <c r="A517" s="200"/>
      <c r="B517" s="200"/>
      <c r="C517" s="200"/>
      <c r="D517" s="201"/>
      <c r="E517" s="200"/>
      <c r="F517" s="200"/>
      <c r="G517" s="200"/>
      <c r="H517" s="200"/>
    </row>
    <row r="518">
      <c r="A518" s="200"/>
      <c r="B518" s="200"/>
      <c r="C518" s="200"/>
      <c r="D518" s="201"/>
      <c r="E518" s="200"/>
      <c r="F518" s="200"/>
      <c r="G518" s="200"/>
      <c r="H518" s="200"/>
    </row>
    <row r="519">
      <c r="A519" s="200"/>
      <c r="B519" s="200"/>
      <c r="C519" s="200"/>
      <c r="D519" s="201"/>
      <c r="E519" s="200"/>
      <c r="F519" s="200"/>
      <c r="G519" s="200"/>
      <c r="H519" s="200"/>
    </row>
    <row r="520">
      <c r="A520" s="200"/>
      <c r="B520" s="200"/>
      <c r="C520" s="200"/>
      <c r="D520" s="201"/>
      <c r="E520" s="200"/>
      <c r="F520" s="200"/>
      <c r="G520" s="200"/>
      <c r="H520" s="200"/>
    </row>
    <row r="521">
      <c r="A521" s="200"/>
      <c r="B521" s="200"/>
      <c r="C521" s="200"/>
      <c r="D521" s="201"/>
      <c r="E521" s="200"/>
      <c r="F521" s="200"/>
      <c r="G521" s="200"/>
      <c r="H521" s="200"/>
    </row>
    <row r="522">
      <c r="A522" s="200"/>
      <c r="B522" s="200"/>
      <c r="C522" s="200"/>
      <c r="D522" s="201"/>
      <c r="E522" s="200"/>
      <c r="F522" s="200"/>
      <c r="G522" s="200"/>
      <c r="H522" s="200"/>
    </row>
    <row r="523">
      <c r="A523" s="200"/>
      <c r="B523" s="200"/>
      <c r="C523" s="200"/>
      <c r="D523" s="201"/>
      <c r="E523" s="200"/>
      <c r="F523" s="200"/>
      <c r="G523" s="200"/>
      <c r="H523" s="200"/>
    </row>
    <row r="524">
      <c r="A524" s="200"/>
      <c r="B524" s="200"/>
      <c r="C524" s="200"/>
      <c r="D524" s="201"/>
      <c r="E524" s="200"/>
      <c r="F524" s="200"/>
      <c r="G524" s="200"/>
      <c r="H524" s="200"/>
    </row>
    <row r="525">
      <c r="A525" s="200"/>
      <c r="B525" s="200"/>
      <c r="C525" s="200"/>
      <c r="D525" s="201"/>
      <c r="E525" s="200"/>
      <c r="F525" s="200"/>
      <c r="G525" s="200"/>
      <c r="H525" s="200"/>
    </row>
    <row r="526">
      <c r="A526" s="200"/>
      <c r="B526" s="200"/>
      <c r="C526" s="200"/>
      <c r="D526" s="201"/>
      <c r="E526" s="200"/>
      <c r="F526" s="200"/>
      <c r="G526" s="200"/>
      <c r="H526" s="200"/>
    </row>
    <row r="527">
      <c r="A527" s="200"/>
      <c r="B527" s="200"/>
      <c r="C527" s="200"/>
      <c r="D527" s="201"/>
      <c r="E527" s="200"/>
      <c r="F527" s="200"/>
      <c r="G527" s="200"/>
      <c r="H527" s="200"/>
    </row>
    <row r="528">
      <c r="A528" s="200"/>
      <c r="B528" s="200"/>
      <c r="C528" s="200"/>
      <c r="D528" s="201"/>
      <c r="E528" s="200"/>
      <c r="F528" s="200"/>
      <c r="G528" s="200"/>
      <c r="H528" s="200"/>
    </row>
    <row r="529">
      <c r="A529" s="200"/>
      <c r="B529" s="200"/>
      <c r="C529" s="200"/>
      <c r="D529" s="201"/>
      <c r="E529" s="200"/>
      <c r="F529" s="200"/>
      <c r="G529" s="200"/>
      <c r="H529" s="200"/>
    </row>
    <row r="530">
      <c r="A530" s="200"/>
      <c r="B530" s="200"/>
      <c r="C530" s="200"/>
      <c r="D530" s="201"/>
      <c r="E530" s="200"/>
      <c r="F530" s="200"/>
      <c r="G530" s="200"/>
      <c r="H530" s="200"/>
    </row>
    <row r="531">
      <c r="A531" s="200"/>
      <c r="B531" s="200"/>
      <c r="C531" s="200"/>
      <c r="D531" s="201"/>
      <c r="E531" s="200"/>
      <c r="F531" s="200"/>
      <c r="G531" s="200"/>
      <c r="H531" s="200"/>
    </row>
    <row r="532">
      <c r="A532" s="200"/>
      <c r="B532" s="200"/>
      <c r="C532" s="200"/>
      <c r="D532" s="201"/>
      <c r="E532" s="200"/>
      <c r="F532" s="200"/>
      <c r="G532" s="200"/>
      <c r="H532" s="200"/>
    </row>
    <row r="533">
      <c r="A533" s="200"/>
      <c r="B533" s="200"/>
      <c r="C533" s="200"/>
      <c r="D533" s="201"/>
      <c r="E533" s="200"/>
      <c r="F533" s="200"/>
      <c r="G533" s="200"/>
      <c r="H533" s="200"/>
    </row>
    <row r="534">
      <c r="A534" s="200"/>
      <c r="B534" s="200"/>
      <c r="C534" s="200"/>
      <c r="D534" s="201"/>
      <c r="E534" s="200"/>
      <c r="F534" s="200"/>
      <c r="G534" s="200"/>
      <c r="H534" s="200"/>
    </row>
    <row r="535">
      <c r="A535" s="200"/>
      <c r="B535" s="200"/>
      <c r="C535" s="200"/>
      <c r="D535" s="201"/>
      <c r="E535" s="200"/>
      <c r="F535" s="200"/>
      <c r="G535" s="200"/>
      <c r="H535" s="200"/>
    </row>
    <row r="536">
      <c r="A536" s="200"/>
      <c r="B536" s="200"/>
      <c r="C536" s="200"/>
      <c r="D536" s="201"/>
      <c r="E536" s="200"/>
      <c r="F536" s="200"/>
      <c r="G536" s="200"/>
      <c r="H536" s="200"/>
    </row>
    <row r="537">
      <c r="A537" s="200"/>
      <c r="B537" s="200"/>
      <c r="C537" s="200"/>
      <c r="D537" s="201"/>
      <c r="E537" s="200"/>
      <c r="F537" s="200"/>
      <c r="G537" s="200"/>
      <c r="H537" s="200"/>
    </row>
    <row r="538">
      <c r="A538" s="200"/>
      <c r="B538" s="200"/>
      <c r="C538" s="200"/>
      <c r="D538" s="201"/>
      <c r="E538" s="200"/>
      <c r="F538" s="200"/>
      <c r="G538" s="200"/>
      <c r="H538" s="200"/>
    </row>
    <row r="539">
      <c r="A539" s="200"/>
      <c r="B539" s="200"/>
      <c r="C539" s="200"/>
      <c r="D539" s="201"/>
      <c r="E539" s="200"/>
      <c r="F539" s="200"/>
      <c r="G539" s="200"/>
      <c r="H539" s="200"/>
    </row>
    <row r="540">
      <c r="A540" s="200"/>
      <c r="B540" s="200"/>
      <c r="C540" s="200"/>
      <c r="D540" s="201"/>
      <c r="E540" s="200"/>
      <c r="F540" s="200"/>
      <c r="G540" s="200"/>
      <c r="H540" s="200"/>
    </row>
    <row r="541">
      <c r="A541" s="200"/>
      <c r="B541" s="200"/>
      <c r="C541" s="200"/>
      <c r="D541" s="201"/>
      <c r="E541" s="200"/>
      <c r="F541" s="200"/>
      <c r="G541" s="200"/>
      <c r="H541" s="200"/>
    </row>
    <row r="542">
      <c r="A542" s="200"/>
      <c r="B542" s="200"/>
      <c r="C542" s="200"/>
      <c r="D542" s="201"/>
      <c r="E542" s="200"/>
      <c r="F542" s="200"/>
      <c r="G542" s="200"/>
      <c r="H542" s="200"/>
    </row>
    <row r="543">
      <c r="A543" s="200"/>
      <c r="B543" s="200"/>
      <c r="C543" s="200"/>
      <c r="D543" s="201"/>
      <c r="E543" s="200"/>
      <c r="F543" s="200"/>
      <c r="G543" s="200"/>
      <c r="H543" s="200"/>
    </row>
    <row r="544">
      <c r="A544" s="200"/>
      <c r="B544" s="200"/>
      <c r="C544" s="200"/>
      <c r="D544" s="201"/>
      <c r="E544" s="200"/>
      <c r="F544" s="200"/>
      <c r="G544" s="200"/>
      <c r="H544" s="200"/>
    </row>
    <row r="545">
      <c r="A545" s="200"/>
      <c r="B545" s="200"/>
      <c r="C545" s="200"/>
      <c r="D545" s="201"/>
      <c r="E545" s="200"/>
      <c r="F545" s="200"/>
      <c r="G545" s="200"/>
      <c r="H545" s="200"/>
    </row>
    <row r="546">
      <c r="A546" s="200"/>
      <c r="B546" s="200"/>
      <c r="C546" s="200"/>
      <c r="D546" s="201"/>
      <c r="E546" s="200"/>
      <c r="F546" s="200"/>
      <c r="G546" s="200"/>
      <c r="H546" s="200"/>
    </row>
    <row r="547">
      <c r="A547" s="200"/>
      <c r="B547" s="200"/>
      <c r="C547" s="200"/>
      <c r="D547" s="201"/>
      <c r="E547" s="200"/>
      <c r="F547" s="200"/>
      <c r="G547" s="200"/>
      <c r="H547" s="200"/>
    </row>
    <row r="548">
      <c r="A548" s="200"/>
      <c r="B548" s="200"/>
      <c r="C548" s="200"/>
      <c r="D548" s="201"/>
      <c r="E548" s="200"/>
      <c r="F548" s="200"/>
      <c r="G548" s="200"/>
      <c r="H548" s="200"/>
    </row>
    <row r="549">
      <c r="A549" s="200"/>
      <c r="B549" s="200"/>
      <c r="C549" s="200"/>
      <c r="D549" s="201"/>
      <c r="E549" s="200"/>
      <c r="F549" s="200"/>
      <c r="G549" s="200"/>
      <c r="H549" s="200"/>
    </row>
    <row r="550">
      <c r="A550" s="200"/>
      <c r="B550" s="200"/>
      <c r="C550" s="200"/>
      <c r="D550" s="201"/>
      <c r="E550" s="200"/>
      <c r="F550" s="200"/>
      <c r="G550" s="200"/>
      <c r="H550" s="200"/>
    </row>
    <row r="551">
      <c r="A551" s="200"/>
      <c r="B551" s="200"/>
      <c r="C551" s="200"/>
      <c r="D551" s="201"/>
      <c r="E551" s="200"/>
      <c r="F551" s="200"/>
      <c r="G551" s="200"/>
      <c r="H551" s="200"/>
    </row>
    <row r="552">
      <c r="A552" s="200"/>
      <c r="B552" s="200"/>
      <c r="C552" s="200"/>
      <c r="D552" s="201"/>
      <c r="E552" s="200"/>
      <c r="F552" s="200"/>
      <c r="G552" s="200"/>
      <c r="H552" s="200"/>
    </row>
    <row r="553">
      <c r="A553" s="200"/>
      <c r="B553" s="200"/>
      <c r="C553" s="200"/>
      <c r="D553" s="201"/>
      <c r="E553" s="200"/>
      <c r="F553" s="200"/>
      <c r="G553" s="200"/>
      <c r="H553" s="200"/>
    </row>
    <row r="554">
      <c r="A554" s="200"/>
      <c r="B554" s="200"/>
      <c r="C554" s="200"/>
      <c r="D554" s="201"/>
      <c r="E554" s="200"/>
      <c r="F554" s="200"/>
      <c r="G554" s="200"/>
      <c r="H554" s="200"/>
    </row>
    <row r="555">
      <c r="A555" s="200"/>
      <c r="B555" s="200"/>
      <c r="C555" s="200"/>
      <c r="D555" s="201"/>
      <c r="E555" s="200"/>
      <c r="F555" s="200"/>
      <c r="G555" s="200"/>
      <c r="H555" s="200"/>
    </row>
    <row r="556">
      <c r="A556" s="200"/>
      <c r="B556" s="200"/>
      <c r="C556" s="200"/>
      <c r="D556" s="201"/>
      <c r="E556" s="200"/>
      <c r="F556" s="200"/>
      <c r="G556" s="200"/>
      <c r="H556" s="200"/>
    </row>
    <row r="557">
      <c r="A557" s="200"/>
      <c r="B557" s="200"/>
      <c r="C557" s="200"/>
      <c r="D557" s="201"/>
      <c r="E557" s="200"/>
      <c r="F557" s="200"/>
      <c r="G557" s="200"/>
      <c r="H557" s="200"/>
    </row>
    <row r="558">
      <c r="A558" s="200"/>
      <c r="B558" s="200"/>
      <c r="C558" s="200"/>
      <c r="D558" s="201"/>
      <c r="E558" s="200"/>
      <c r="F558" s="200"/>
      <c r="G558" s="200"/>
      <c r="H558" s="200"/>
    </row>
    <row r="559">
      <c r="A559" s="200"/>
      <c r="B559" s="200"/>
      <c r="C559" s="200"/>
      <c r="D559" s="201"/>
      <c r="E559" s="200"/>
      <c r="F559" s="200"/>
      <c r="G559" s="200"/>
      <c r="H559" s="200"/>
    </row>
    <row r="560">
      <c r="A560" s="200"/>
      <c r="B560" s="200"/>
      <c r="C560" s="200"/>
      <c r="D560" s="201"/>
      <c r="E560" s="200"/>
      <c r="F560" s="200"/>
      <c r="G560" s="200"/>
      <c r="H560" s="200"/>
    </row>
    <row r="561">
      <c r="A561" s="200"/>
      <c r="B561" s="200"/>
      <c r="C561" s="200"/>
      <c r="D561" s="201"/>
      <c r="E561" s="200"/>
      <c r="F561" s="200"/>
      <c r="G561" s="200"/>
      <c r="H561" s="200"/>
    </row>
    <row r="562">
      <c r="A562" s="200"/>
      <c r="B562" s="200"/>
      <c r="C562" s="200"/>
      <c r="D562" s="201"/>
      <c r="E562" s="200"/>
      <c r="F562" s="200"/>
      <c r="G562" s="200"/>
      <c r="H562" s="200"/>
    </row>
    <row r="563">
      <c r="A563" s="200"/>
      <c r="B563" s="200"/>
      <c r="C563" s="200"/>
      <c r="D563" s="201"/>
      <c r="E563" s="200"/>
      <c r="F563" s="200"/>
      <c r="G563" s="200"/>
      <c r="H563" s="200"/>
    </row>
    <row r="564">
      <c r="A564" s="200"/>
      <c r="B564" s="200"/>
      <c r="C564" s="200"/>
      <c r="D564" s="201"/>
      <c r="E564" s="200"/>
      <c r="F564" s="200"/>
      <c r="G564" s="200"/>
      <c r="H564" s="200"/>
    </row>
    <row r="565">
      <c r="A565" s="200"/>
      <c r="B565" s="200"/>
      <c r="C565" s="200"/>
      <c r="D565" s="201"/>
      <c r="E565" s="200"/>
      <c r="F565" s="200"/>
      <c r="G565" s="200"/>
      <c r="H565" s="200"/>
    </row>
    <row r="566">
      <c r="A566" s="200"/>
      <c r="B566" s="200"/>
      <c r="C566" s="200"/>
      <c r="D566" s="201"/>
      <c r="E566" s="200"/>
      <c r="F566" s="200"/>
      <c r="G566" s="200"/>
      <c r="H566" s="200"/>
    </row>
    <row r="567">
      <c r="A567" s="200"/>
      <c r="B567" s="200"/>
      <c r="C567" s="200"/>
      <c r="D567" s="201"/>
      <c r="E567" s="200"/>
      <c r="F567" s="200"/>
      <c r="G567" s="200"/>
      <c r="H567" s="200"/>
    </row>
    <row r="568">
      <c r="A568" s="200"/>
      <c r="B568" s="200"/>
      <c r="C568" s="200"/>
      <c r="D568" s="201"/>
      <c r="E568" s="200"/>
      <c r="F568" s="200"/>
      <c r="G568" s="200"/>
      <c r="H568" s="200"/>
    </row>
    <row r="569">
      <c r="A569" s="200"/>
      <c r="B569" s="200"/>
      <c r="C569" s="200"/>
      <c r="D569" s="201"/>
      <c r="E569" s="200"/>
      <c r="F569" s="200"/>
      <c r="G569" s="200"/>
      <c r="H569" s="200"/>
    </row>
    <row r="570">
      <c r="A570" s="200"/>
      <c r="B570" s="200"/>
      <c r="C570" s="200"/>
      <c r="D570" s="201"/>
      <c r="E570" s="200"/>
      <c r="F570" s="200"/>
      <c r="G570" s="200"/>
      <c r="H570" s="200"/>
    </row>
    <row r="571">
      <c r="A571" s="200"/>
      <c r="B571" s="200"/>
      <c r="C571" s="200"/>
      <c r="D571" s="201"/>
      <c r="E571" s="200"/>
      <c r="F571" s="200"/>
      <c r="G571" s="200"/>
      <c r="H571" s="200"/>
    </row>
    <row r="572">
      <c r="A572" s="200"/>
      <c r="B572" s="200"/>
      <c r="C572" s="200"/>
      <c r="D572" s="201"/>
      <c r="E572" s="200"/>
      <c r="F572" s="200"/>
      <c r="G572" s="200"/>
      <c r="H572" s="200"/>
    </row>
    <row r="573">
      <c r="A573" s="200"/>
      <c r="B573" s="200"/>
      <c r="C573" s="200"/>
      <c r="D573" s="201"/>
      <c r="E573" s="200"/>
      <c r="F573" s="200"/>
      <c r="G573" s="200"/>
      <c r="H573" s="200"/>
    </row>
    <row r="574">
      <c r="A574" s="200"/>
      <c r="B574" s="200"/>
      <c r="C574" s="200"/>
      <c r="D574" s="201"/>
      <c r="E574" s="200"/>
      <c r="F574" s="200"/>
      <c r="G574" s="200"/>
      <c r="H574" s="200"/>
    </row>
    <row r="575">
      <c r="A575" s="200"/>
      <c r="B575" s="200"/>
      <c r="C575" s="200"/>
      <c r="D575" s="201"/>
      <c r="E575" s="200"/>
      <c r="F575" s="200"/>
      <c r="G575" s="200"/>
      <c r="H575" s="200"/>
    </row>
    <row r="576">
      <c r="A576" s="200"/>
      <c r="B576" s="200"/>
      <c r="C576" s="200"/>
      <c r="D576" s="201"/>
      <c r="E576" s="200"/>
      <c r="F576" s="200"/>
      <c r="G576" s="200"/>
      <c r="H576" s="200"/>
    </row>
    <row r="577">
      <c r="A577" s="200"/>
      <c r="B577" s="200"/>
      <c r="C577" s="200"/>
      <c r="D577" s="201"/>
      <c r="E577" s="200"/>
      <c r="F577" s="200"/>
      <c r="G577" s="200"/>
      <c r="H577" s="200"/>
    </row>
    <row r="578">
      <c r="A578" s="200"/>
      <c r="B578" s="200"/>
      <c r="C578" s="200"/>
      <c r="D578" s="201"/>
      <c r="E578" s="200"/>
      <c r="F578" s="200"/>
      <c r="G578" s="200"/>
      <c r="H578" s="200"/>
    </row>
    <row r="579">
      <c r="A579" s="200"/>
      <c r="B579" s="200"/>
      <c r="C579" s="200"/>
      <c r="D579" s="201"/>
      <c r="E579" s="200"/>
      <c r="F579" s="200"/>
      <c r="G579" s="200"/>
      <c r="H579" s="200"/>
    </row>
    <row r="580">
      <c r="A580" s="200"/>
      <c r="B580" s="200"/>
      <c r="C580" s="200"/>
      <c r="D580" s="201"/>
      <c r="E580" s="200"/>
      <c r="F580" s="200"/>
      <c r="G580" s="200"/>
      <c r="H580" s="200"/>
    </row>
    <row r="581">
      <c r="A581" s="200"/>
      <c r="B581" s="200"/>
      <c r="C581" s="200"/>
      <c r="D581" s="201"/>
      <c r="E581" s="200"/>
      <c r="F581" s="200"/>
      <c r="G581" s="200"/>
      <c r="H581" s="200"/>
    </row>
    <row r="582">
      <c r="A582" s="200"/>
      <c r="B582" s="200"/>
      <c r="C582" s="200"/>
      <c r="D582" s="201"/>
      <c r="E582" s="200"/>
      <c r="F582" s="200"/>
      <c r="G582" s="200"/>
      <c r="H582" s="200"/>
    </row>
    <row r="583">
      <c r="A583" s="200"/>
      <c r="B583" s="200"/>
      <c r="C583" s="200"/>
      <c r="D583" s="201"/>
      <c r="E583" s="200"/>
      <c r="F583" s="200"/>
      <c r="G583" s="200"/>
      <c r="H583" s="200"/>
    </row>
    <row r="584">
      <c r="A584" s="200"/>
      <c r="B584" s="200"/>
      <c r="C584" s="200"/>
      <c r="D584" s="201"/>
      <c r="E584" s="200"/>
      <c r="F584" s="200"/>
      <c r="G584" s="200"/>
      <c r="H584" s="200"/>
    </row>
    <row r="585">
      <c r="A585" s="200"/>
      <c r="B585" s="200"/>
      <c r="C585" s="200"/>
      <c r="D585" s="201"/>
      <c r="E585" s="200"/>
      <c r="F585" s="200"/>
      <c r="G585" s="200"/>
      <c r="H585" s="200"/>
    </row>
    <row r="586">
      <c r="A586" s="200"/>
      <c r="B586" s="200"/>
      <c r="C586" s="200"/>
      <c r="D586" s="201"/>
      <c r="E586" s="200"/>
      <c r="F586" s="200"/>
      <c r="G586" s="200"/>
      <c r="H586" s="200"/>
    </row>
    <row r="587">
      <c r="A587" s="200"/>
      <c r="B587" s="200"/>
      <c r="C587" s="200"/>
      <c r="D587" s="201"/>
      <c r="E587" s="200"/>
      <c r="F587" s="200"/>
      <c r="G587" s="200"/>
      <c r="H587" s="200"/>
    </row>
    <row r="588">
      <c r="A588" s="200"/>
      <c r="B588" s="200"/>
      <c r="C588" s="200"/>
      <c r="D588" s="201"/>
      <c r="E588" s="200"/>
      <c r="F588" s="200"/>
      <c r="G588" s="200"/>
      <c r="H588" s="200"/>
    </row>
    <row r="589">
      <c r="A589" s="200"/>
      <c r="B589" s="200"/>
      <c r="C589" s="200"/>
      <c r="D589" s="201"/>
      <c r="E589" s="200"/>
      <c r="F589" s="200"/>
      <c r="G589" s="200"/>
      <c r="H589" s="200"/>
    </row>
    <row r="590">
      <c r="A590" s="200"/>
      <c r="B590" s="200"/>
      <c r="C590" s="200"/>
      <c r="D590" s="201"/>
      <c r="E590" s="200"/>
      <c r="F590" s="200"/>
      <c r="G590" s="200"/>
      <c r="H590" s="200"/>
    </row>
    <row r="591">
      <c r="A591" s="200"/>
      <c r="B591" s="200"/>
      <c r="C591" s="200"/>
      <c r="D591" s="201"/>
      <c r="E591" s="200"/>
      <c r="F591" s="200"/>
      <c r="G591" s="200"/>
      <c r="H591" s="200"/>
    </row>
    <row r="592">
      <c r="A592" s="200"/>
      <c r="B592" s="200"/>
      <c r="C592" s="200"/>
      <c r="D592" s="201"/>
      <c r="E592" s="200"/>
      <c r="F592" s="200"/>
      <c r="G592" s="200"/>
      <c r="H592" s="200"/>
    </row>
    <row r="593">
      <c r="A593" s="200"/>
      <c r="B593" s="200"/>
      <c r="C593" s="200"/>
      <c r="D593" s="201"/>
      <c r="E593" s="200"/>
      <c r="F593" s="200"/>
      <c r="G593" s="200"/>
      <c r="H593" s="200"/>
    </row>
    <row r="594">
      <c r="A594" s="200"/>
      <c r="B594" s="200"/>
      <c r="C594" s="200"/>
      <c r="D594" s="201"/>
      <c r="E594" s="200"/>
      <c r="F594" s="200"/>
      <c r="G594" s="200"/>
      <c r="H594" s="200"/>
    </row>
    <row r="595">
      <c r="A595" s="200"/>
      <c r="B595" s="200"/>
      <c r="C595" s="200"/>
      <c r="D595" s="201"/>
      <c r="E595" s="200"/>
      <c r="F595" s="200"/>
      <c r="G595" s="200"/>
      <c r="H595" s="200"/>
    </row>
    <row r="596">
      <c r="A596" s="200"/>
      <c r="B596" s="200"/>
      <c r="C596" s="200"/>
      <c r="D596" s="201"/>
      <c r="E596" s="200"/>
      <c r="F596" s="200"/>
      <c r="G596" s="200"/>
      <c r="H596" s="200"/>
    </row>
    <row r="597">
      <c r="A597" s="200"/>
      <c r="B597" s="200"/>
      <c r="C597" s="200"/>
      <c r="D597" s="201"/>
      <c r="E597" s="200"/>
      <c r="F597" s="200"/>
      <c r="G597" s="200"/>
      <c r="H597" s="200"/>
    </row>
    <row r="598">
      <c r="A598" s="200"/>
      <c r="B598" s="200"/>
      <c r="C598" s="200"/>
      <c r="D598" s="201"/>
      <c r="E598" s="200"/>
      <c r="F598" s="200"/>
      <c r="G598" s="200"/>
      <c r="H598" s="200"/>
    </row>
    <row r="599">
      <c r="A599" s="200"/>
      <c r="B599" s="200"/>
      <c r="C599" s="200"/>
      <c r="D599" s="201"/>
      <c r="E599" s="200"/>
      <c r="F599" s="200"/>
      <c r="G599" s="200"/>
      <c r="H599" s="200"/>
    </row>
    <row r="600">
      <c r="A600" s="200"/>
      <c r="B600" s="200"/>
      <c r="C600" s="200"/>
      <c r="D600" s="201"/>
      <c r="E600" s="200"/>
      <c r="F600" s="200"/>
      <c r="G600" s="200"/>
      <c r="H600" s="200"/>
    </row>
    <row r="601">
      <c r="A601" s="200"/>
      <c r="B601" s="200"/>
      <c r="C601" s="200"/>
      <c r="D601" s="201"/>
      <c r="E601" s="200"/>
      <c r="F601" s="200"/>
      <c r="G601" s="200"/>
      <c r="H601" s="200"/>
    </row>
    <row r="602">
      <c r="A602" s="200"/>
      <c r="B602" s="200"/>
      <c r="C602" s="200"/>
      <c r="D602" s="201"/>
      <c r="E602" s="200"/>
      <c r="F602" s="200"/>
      <c r="G602" s="200"/>
      <c r="H602" s="200"/>
    </row>
    <row r="603">
      <c r="A603" s="200"/>
      <c r="B603" s="200"/>
      <c r="C603" s="200"/>
      <c r="D603" s="201"/>
      <c r="E603" s="200"/>
      <c r="F603" s="200"/>
      <c r="G603" s="200"/>
      <c r="H603" s="200"/>
    </row>
    <row r="604">
      <c r="A604" s="200"/>
      <c r="B604" s="200"/>
      <c r="C604" s="200"/>
      <c r="D604" s="201"/>
      <c r="E604" s="200"/>
      <c r="F604" s="200"/>
      <c r="G604" s="200"/>
      <c r="H604" s="200"/>
    </row>
    <row r="605">
      <c r="A605" s="200"/>
      <c r="B605" s="200"/>
      <c r="C605" s="200"/>
      <c r="D605" s="201"/>
      <c r="E605" s="200"/>
      <c r="F605" s="200"/>
      <c r="G605" s="200"/>
      <c r="H605" s="200"/>
    </row>
    <row r="606">
      <c r="A606" s="200"/>
      <c r="B606" s="200"/>
      <c r="C606" s="200"/>
      <c r="D606" s="201"/>
      <c r="E606" s="200"/>
      <c r="F606" s="200"/>
      <c r="G606" s="200"/>
      <c r="H606" s="200"/>
    </row>
    <row r="607">
      <c r="A607" s="200"/>
      <c r="B607" s="200"/>
      <c r="C607" s="200"/>
      <c r="D607" s="201"/>
      <c r="E607" s="200"/>
      <c r="F607" s="200"/>
      <c r="G607" s="200"/>
      <c r="H607" s="200"/>
    </row>
    <row r="608">
      <c r="A608" s="200"/>
      <c r="B608" s="200"/>
      <c r="C608" s="200"/>
      <c r="D608" s="201"/>
      <c r="E608" s="200"/>
      <c r="F608" s="200"/>
      <c r="G608" s="200"/>
      <c r="H608" s="200"/>
    </row>
    <row r="609">
      <c r="A609" s="200"/>
      <c r="B609" s="200"/>
      <c r="C609" s="200"/>
      <c r="D609" s="201"/>
      <c r="E609" s="200"/>
      <c r="F609" s="200"/>
      <c r="G609" s="200"/>
      <c r="H609" s="200"/>
    </row>
    <row r="610">
      <c r="A610" s="200"/>
      <c r="B610" s="200"/>
      <c r="C610" s="200"/>
      <c r="D610" s="201"/>
      <c r="E610" s="200"/>
      <c r="F610" s="200"/>
      <c r="G610" s="200"/>
      <c r="H610" s="200"/>
    </row>
    <row r="611">
      <c r="A611" s="200"/>
      <c r="B611" s="200"/>
      <c r="C611" s="200"/>
      <c r="D611" s="201"/>
      <c r="E611" s="200"/>
      <c r="F611" s="200"/>
      <c r="G611" s="200"/>
      <c r="H611" s="200"/>
    </row>
    <row r="612">
      <c r="A612" s="200"/>
      <c r="B612" s="200"/>
      <c r="C612" s="200"/>
      <c r="D612" s="201"/>
      <c r="E612" s="200"/>
      <c r="F612" s="200"/>
      <c r="G612" s="200"/>
      <c r="H612" s="200"/>
    </row>
    <row r="613">
      <c r="A613" s="200"/>
      <c r="B613" s="200"/>
      <c r="C613" s="200"/>
      <c r="D613" s="201"/>
      <c r="E613" s="200"/>
      <c r="F613" s="200"/>
      <c r="G613" s="200"/>
      <c r="H613" s="200"/>
    </row>
    <row r="614">
      <c r="A614" s="200"/>
      <c r="B614" s="200"/>
      <c r="C614" s="200"/>
      <c r="D614" s="201"/>
      <c r="E614" s="200"/>
      <c r="F614" s="200"/>
      <c r="G614" s="200"/>
      <c r="H614" s="200"/>
    </row>
    <row r="615">
      <c r="A615" s="200"/>
      <c r="B615" s="200"/>
      <c r="C615" s="200"/>
      <c r="D615" s="201"/>
      <c r="E615" s="200"/>
      <c r="F615" s="200"/>
      <c r="G615" s="200"/>
      <c r="H615" s="200"/>
    </row>
    <row r="616">
      <c r="A616" s="200"/>
      <c r="B616" s="200"/>
      <c r="C616" s="200"/>
      <c r="D616" s="201"/>
      <c r="E616" s="200"/>
      <c r="F616" s="200"/>
      <c r="G616" s="200"/>
      <c r="H616" s="200"/>
    </row>
    <row r="617">
      <c r="A617" s="200"/>
      <c r="B617" s="200"/>
      <c r="C617" s="200"/>
      <c r="D617" s="201"/>
      <c r="E617" s="200"/>
      <c r="F617" s="200"/>
      <c r="G617" s="200"/>
      <c r="H617" s="200"/>
    </row>
    <row r="618">
      <c r="A618" s="200"/>
      <c r="B618" s="200"/>
      <c r="C618" s="200"/>
      <c r="D618" s="201"/>
      <c r="E618" s="200"/>
      <c r="F618" s="200"/>
      <c r="G618" s="200"/>
      <c r="H618" s="200"/>
    </row>
    <row r="619">
      <c r="A619" s="200"/>
      <c r="B619" s="200"/>
      <c r="C619" s="200"/>
      <c r="D619" s="201"/>
      <c r="E619" s="200"/>
      <c r="F619" s="200"/>
      <c r="G619" s="200"/>
      <c r="H619" s="200"/>
    </row>
    <row r="620">
      <c r="A620" s="200"/>
      <c r="B620" s="200"/>
      <c r="C620" s="200"/>
      <c r="D620" s="201"/>
      <c r="E620" s="200"/>
      <c r="F620" s="200"/>
      <c r="G620" s="200"/>
      <c r="H620" s="200"/>
    </row>
    <row r="621">
      <c r="A621" s="200"/>
      <c r="B621" s="200"/>
      <c r="C621" s="200"/>
      <c r="D621" s="201"/>
      <c r="E621" s="200"/>
      <c r="F621" s="200"/>
      <c r="G621" s="200"/>
      <c r="H621" s="200"/>
    </row>
    <row r="622">
      <c r="A622" s="200"/>
      <c r="B622" s="200"/>
      <c r="C622" s="200"/>
      <c r="D622" s="201"/>
      <c r="E622" s="200"/>
      <c r="F622" s="200"/>
      <c r="G622" s="200"/>
      <c r="H622" s="200"/>
    </row>
    <row r="623">
      <c r="A623" s="200"/>
      <c r="B623" s="200"/>
      <c r="C623" s="200"/>
      <c r="D623" s="201"/>
      <c r="E623" s="200"/>
      <c r="F623" s="200"/>
      <c r="G623" s="200"/>
      <c r="H623" s="200"/>
    </row>
    <row r="624">
      <c r="A624" s="200"/>
      <c r="B624" s="200"/>
      <c r="C624" s="200"/>
      <c r="D624" s="201"/>
      <c r="E624" s="200"/>
      <c r="F624" s="200"/>
      <c r="G624" s="200"/>
      <c r="H624" s="200"/>
    </row>
    <row r="625">
      <c r="A625" s="200"/>
      <c r="B625" s="200"/>
      <c r="C625" s="200"/>
      <c r="D625" s="201"/>
      <c r="E625" s="200"/>
      <c r="F625" s="200"/>
      <c r="G625" s="200"/>
      <c r="H625" s="200"/>
    </row>
    <row r="626">
      <c r="A626" s="200"/>
      <c r="B626" s="200"/>
      <c r="C626" s="200"/>
      <c r="D626" s="201"/>
      <c r="E626" s="200"/>
      <c r="F626" s="200"/>
      <c r="G626" s="200"/>
      <c r="H626" s="200"/>
    </row>
    <row r="627">
      <c r="A627" s="200"/>
      <c r="B627" s="200"/>
      <c r="C627" s="200"/>
      <c r="D627" s="201"/>
      <c r="E627" s="200"/>
      <c r="F627" s="200"/>
      <c r="G627" s="200"/>
      <c r="H627" s="200"/>
    </row>
    <row r="628">
      <c r="A628" s="200"/>
      <c r="B628" s="200"/>
      <c r="C628" s="200"/>
      <c r="D628" s="201"/>
      <c r="E628" s="200"/>
      <c r="F628" s="200"/>
      <c r="G628" s="200"/>
      <c r="H628" s="200"/>
    </row>
    <row r="629">
      <c r="A629" s="200"/>
      <c r="B629" s="200"/>
      <c r="C629" s="200"/>
      <c r="D629" s="201"/>
      <c r="E629" s="200"/>
      <c r="F629" s="200"/>
      <c r="G629" s="200"/>
      <c r="H629" s="200"/>
    </row>
    <row r="630">
      <c r="A630" s="200"/>
      <c r="B630" s="200"/>
      <c r="C630" s="200"/>
      <c r="D630" s="201"/>
      <c r="E630" s="200"/>
      <c r="F630" s="200"/>
      <c r="G630" s="200"/>
      <c r="H630" s="200"/>
    </row>
    <row r="631">
      <c r="A631" s="200"/>
      <c r="B631" s="200"/>
      <c r="C631" s="200"/>
      <c r="D631" s="201"/>
      <c r="E631" s="200"/>
      <c r="F631" s="200"/>
      <c r="G631" s="200"/>
      <c r="H631" s="200"/>
    </row>
    <row r="632">
      <c r="A632" s="200"/>
      <c r="B632" s="200"/>
      <c r="C632" s="200"/>
      <c r="D632" s="201"/>
      <c r="E632" s="200"/>
      <c r="F632" s="200"/>
      <c r="G632" s="200"/>
      <c r="H632" s="200"/>
    </row>
    <row r="633">
      <c r="A633" s="200"/>
      <c r="B633" s="200"/>
      <c r="C633" s="200"/>
      <c r="D633" s="201"/>
      <c r="E633" s="200"/>
      <c r="F633" s="200"/>
      <c r="G633" s="200"/>
      <c r="H633" s="200"/>
    </row>
    <row r="634">
      <c r="A634" s="200"/>
      <c r="B634" s="200"/>
      <c r="C634" s="200"/>
      <c r="D634" s="201"/>
      <c r="E634" s="200"/>
      <c r="F634" s="200"/>
      <c r="G634" s="200"/>
      <c r="H634" s="200"/>
    </row>
    <row r="635">
      <c r="A635" s="200"/>
      <c r="B635" s="200"/>
      <c r="C635" s="200"/>
      <c r="D635" s="201"/>
      <c r="E635" s="200"/>
      <c r="F635" s="200"/>
      <c r="G635" s="200"/>
      <c r="H635" s="200"/>
    </row>
    <row r="636">
      <c r="A636" s="200"/>
      <c r="B636" s="200"/>
      <c r="C636" s="200"/>
      <c r="D636" s="201"/>
      <c r="E636" s="200"/>
      <c r="F636" s="200"/>
      <c r="G636" s="200"/>
      <c r="H636" s="200"/>
    </row>
    <row r="637">
      <c r="A637" s="200"/>
      <c r="B637" s="200"/>
      <c r="C637" s="200"/>
      <c r="D637" s="201"/>
      <c r="E637" s="200"/>
      <c r="F637" s="200"/>
      <c r="G637" s="200"/>
      <c r="H637" s="200"/>
    </row>
    <row r="638">
      <c r="A638" s="200"/>
      <c r="B638" s="200"/>
      <c r="C638" s="200"/>
      <c r="D638" s="201"/>
      <c r="E638" s="200"/>
      <c r="F638" s="200"/>
      <c r="G638" s="200"/>
      <c r="H638" s="200"/>
    </row>
    <row r="639">
      <c r="A639" s="200"/>
      <c r="B639" s="200"/>
      <c r="C639" s="200"/>
      <c r="D639" s="201"/>
      <c r="E639" s="200"/>
      <c r="F639" s="200"/>
      <c r="G639" s="200"/>
      <c r="H639" s="200"/>
    </row>
    <row r="640">
      <c r="A640" s="200"/>
      <c r="B640" s="200"/>
      <c r="C640" s="200"/>
      <c r="D640" s="201"/>
      <c r="E640" s="200"/>
      <c r="F640" s="200"/>
      <c r="G640" s="200"/>
      <c r="H640" s="200"/>
    </row>
    <row r="641">
      <c r="A641" s="200"/>
      <c r="B641" s="200"/>
      <c r="C641" s="200"/>
      <c r="D641" s="201"/>
      <c r="E641" s="200"/>
      <c r="F641" s="200"/>
      <c r="G641" s="200"/>
      <c r="H641" s="200"/>
    </row>
    <row r="642">
      <c r="A642" s="200"/>
      <c r="B642" s="200"/>
      <c r="C642" s="200"/>
      <c r="D642" s="201"/>
      <c r="E642" s="200"/>
      <c r="F642" s="200"/>
      <c r="G642" s="200"/>
      <c r="H642" s="200"/>
    </row>
    <row r="643">
      <c r="A643" s="200"/>
      <c r="B643" s="200"/>
      <c r="C643" s="200"/>
      <c r="D643" s="201"/>
      <c r="E643" s="200"/>
      <c r="F643" s="200"/>
      <c r="G643" s="200"/>
      <c r="H643" s="200"/>
    </row>
    <row r="644">
      <c r="A644" s="200"/>
      <c r="B644" s="200"/>
      <c r="C644" s="200"/>
      <c r="D644" s="201"/>
      <c r="E644" s="200"/>
      <c r="F644" s="200"/>
      <c r="G644" s="200"/>
      <c r="H644" s="200"/>
    </row>
    <row r="645">
      <c r="A645" s="200"/>
      <c r="B645" s="200"/>
      <c r="C645" s="200"/>
      <c r="D645" s="201"/>
      <c r="E645" s="200"/>
      <c r="F645" s="200"/>
      <c r="G645" s="200"/>
      <c r="H645" s="200"/>
    </row>
    <row r="646">
      <c r="A646" s="200"/>
      <c r="B646" s="200"/>
      <c r="C646" s="200"/>
      <c r="D646" s="201"/>
      <c r="E646" s="200"/>
      <c r="F646" s="200"/>
      <c r="G646" s="200"/>
      <c r="H646" s="200"/>
    </row>
    <row r="647">
      <c r="A647" s="200"/>
      <c r="B647" s="200"/>
      <c r="C647" s="200"/>
      <c r="D647" s="201"/>
      <c r="E647" s="200"/>
      <c r="F647" s="200"/>
      <c r="G647" s="200"/>
      <c r="H647" s="200"/>
    </row>
    <row r="648">
      <c r="A648" s="200"/>
      <c r="B648" s="200"/>
      <c r="C648" s="200"/>
      <c r="D648" s="201"/>
      <c r="E648" s="200"/>
      <c r="F648" s="200"/>
      <c r="G648" s="200"/>
      <c r="H648" s="200"/>
    </row>
    <row r="649">
      <c r="A649" s="200"/>
      <c r="B649" s="200"/>
      <c r="C649" s="200"/>
      <c r="D649" s="201"/>
      <c r="E649" s="200"/>
      <c r="F649" s="200"/>
      <c r="G649" s="200"/>
      <c r="H649" s="200"/>
    </row>
    <row r="650">
      <c r="A650" s="200"/>
      <c r="B650" s="200"/>
      <c r="C650" s="200"/>
      <c r="D650" s="201"/>
      <c r="E650" s="200"/>
      <c r="F650" s="200"/>
      <c r="G650" s="200"/>
      <c r="H650" s="200"/>
    </row>
    <row r="651">
      <c r="A651" s="200"/>
      <c r="B651" s="200"/>
      <c r="C651" s="200"/>
      <c r="D651" s="201"/>
      <c r="E651" s="200"/>
      <c r="F651" s="200"/>
      <c r="G651" s="200"/>
      <c r="H651" s="200"/>
    </row>
    <row r="652">
      <c r="A652" s="200"/>
      <c r="B652" s="200"/>
      <c r="C652" s="200"/>
      <c r="D652" s="201"/>
      <c r="E652" s="200"/>
      <c r="F652" s="200"/>
      <c r="G652" s="200"/>
      <c r="H652" s="200"/>
    </row>
    <row r="653">
      <c r="A653" s="200"/>
      <c r="B653" s="200"/>
      <c r="C653" s="200"/>
      <c r="D653" s="201"/>
      <c r="E653" s="200"/>
      <c r="F653" s="200"/>
      <c r="G653" s="200"/>
      <c r="H653" s="200"/>
    </row>
    <row r="654">
      <c r="A654" s="200"/>
      <c r="B654" s="200"/>
      <c r="C654" s="200"/>
      <c r="D654" s="201"/>
      <c r="E654" s="200"/>
      <c r="F654" s="200"/>
      <c r="G654" s="200"/>
      <c r="H654" s="200"/>
    </row>
    <row r="655">
      <c r="A655" s="200"/>
      <c r="B655" s="200"/>
      <c r="C655" s="200"/>
      <c r="D655" s="201"/>
      <c r="E655" s="200"/>
      <c r="F655" s="200"/>
      <c r="G655" s="200"/>
      <c r="H655" s="200"/>
    </row>
    <row r="656">
      <c r="A656" s="200"/>
      <c r="B656" s="200"/>
      <c r="C656" s="200"/>
      <c r="D656" s="201"/>
      <c r="E656" s="200"/>
      <c r="F656" s="200"/>
      <c r="G656" s="200"/>
      <c r="H656" s="200"/>
    </row>
    <row r="657">
      <c r="A657" s="200"/>
      <c r="B657" s="200"/>
      <c r="C657" s="200"/>
      <c r="D657" s="201"/>
      <c r="E657" s="200"/>
      <c r="F657" s="200"/>
      <c r="G657" s="200"/>
      <c r="H657" s="200"/>
    </row>
    <row r="658">
      <c r="A658" s="200"/>
      <c r="B658" s="200"/>
      <c r="C658" s="200"/>
      <c r="D658" s="201"/>
      <c r="E658" s="200"/>
      <c r="F658" s="200"/>
      <c r="G658" s="200"/>
      <c r="H658" s="200"/>
    </row>
    <row r="659">
      <c r="A659" s="200"/>
      <c r="B659" s="200"/>
      <c r="C659" s="200"/>
      <c r="D659" s="201"/>
      <c r="E659" s="200"/>
      <c r="F659" s="200"/>
      <c r="G659" s="200"/>
      <c r="H659" s="200"/>
    </row>
    <row r="660">
      <c r="A660" s="200"/>
      <c r="B660" s="200"/>
      <c r="C660" s="200"/>
      <c r="D660" s="201"/>
      <c r="E660" s="200"/>
      <c r="F660" s="200"/>
      <c r="G660" s="200"/>
      <c r="H660" s="200"/>
    </row>
    <row r="661">
      <c r="A661" s="200"/>
      <c r="B661" s="200"/>
      <c r="C661" s="200"/>
      <c r="D661" s="201"/>
      <c r="E661" s="200"/>
      <c r="F661" s="200"/>
      <c r="G661" s="200"/>
      <c r="H661" s="200"/>
    </row>
    <row r="662">
      <c r="A662" s="200"/>
      <c r="B662" s="200"/>
      <c r="C662" s="200"/>
      <c r="D662" s="201"/>
      <c r="E662" s="200"/>
      <c r="F662" s="200"/>
      <c r="G662" s="200"/>
      <c r="H662" s="200"/>
    </row>
    <row r="663">
      <c r="A663" s="200"/>
      <c r="B663" s="200"/>
      <c r="C663" s="200"/>
      <c r="D663" s="201"/>
      <c r="E663" s="200"/>
      <c r="F663" s="200"/>
      <c r="G663" s="200"/>
      <c r="H663" s="200"/>
    </row>
    <row r="664">
      <c r="A664" s="200"/>
      <c r="B664" s="200"/>
      <c r="C664" s="200"/>
      <c r="D664" s="201"/>
      <c r="E664" s="200"/>
      <c r="F664" s="200"/>
      <c r="G664" s="200"/>
      <c r="H664" s="200"/>
    </row>
    <row r="665">
      <c r="A665" s="200"/>
      <c r="B665" s="200"/>
      <c r="C665" s="200"/>
      <c r="D665" s="201"/>
      <c r="E665" s="200"/>
      <c r="F665" s="200"/>
      <c r="G665" s="200"/>
      <c r="H665" s="200"/>
    </row>
    <row r="666">
      <c r="A666" s="200"/>
      <c r="B666" s="200"/>
      <c r="C666" s="200"/>
      <c r="D666" s="201"/>
      <c r="E666" s="200"/>
      <c r="F666" s="200"/>
      <c r="G666" s="200"/>
      <c r="H666" s="200"/>
    </row>
    <row r="667">
      <c r="A667" s="200"/>
      <c r="B667" s="200"/>
      <c r="C667" s="200"/>
      <c r="D667" s="201"/>
      <c r="E667" s="200"/>
      <c r="F667" s="200"/>
      <c r="G667" s="200"/>
      <c r="H667" s="200"/>
    </row>
    <row r="668">
      <c r="A668" s="200"/>
      <c r="B668" s="200"/>
      <c r="C668" s="200"/>
      <c r="D668" s="201"/>
      <c r="E668" s="200"/>
      <c r="F668" s="200"/>
      <c r="G668" s="200"/>
      <c r="H668" s="200"/>
    </row>
    <row r="669">
      <c r="A669" s="200"/>
      <c r="B669" s="200"/>
      <c r="C669" s="200"/>
      <c r="D669" s="201"/>
      <c r="E669" s="200"/>
      <c r="F669" s="200"/>
      <c r="G669" s="200"/>
      <c r="H669" s="200"/>
    </row>
    <row r="670">
      <c r="A670" s="200"/>
      <c r="B670" s="200"/>
      <c r="C670" s="200"/>
      <c r="D670" s="201"/>
      <c r="E670" s="200"/>
      <c r="F670" s="200"/>
      <c r="G670" s="200"/>
      <c r="H670" s="200"/>
    </row>
    <row r="671">
      <c r="A671" s="200"/>
      <c r="B671" s="200"/>
      <c r="C671" s="200"/>
      <c r="D671" s="201"/>
      <c r="E671" s="200"/>
      <c r="F671" s="200"/>
      <c r="G671" s="200"/>
      <c r="H671" s="200"/>
    </row>
    <row r="672">
      <c r="A672" s="200"/>
      <c r="B672" s="200"/>
      <c r="C672" s="200"/>
      <c r="D672" s="201"/>
      <c r="E672" s="200"/>
      <c r="F672" s="200"/>
      <c r="G672" s="200"/>
      <c r="H672" s="200"/>
    </row>
    <row r="673">
      <c r="A673" s="200"/>
      <c r="B673" s="200"/>
      <c r="C673" s="200"/>
      <c r="D673" s="201"/>
      <c r="E673" s="200"/>
      <c r="F673" s="200"/>
      <c r="G673" s="200"/>
      <c r="H673" s="200"/>
    </row>
    <row r="674">
      <c r="A674" s="200"/>
      <c r="B674" s="200"/>
      <c r="C674" s="200"/>
      <c r="D674" s="201"/>
      <c r="E674" s="200"/>
      <c r="F674" s="200"/>
      <c r="G674" s="200"/>
      <c r="H674" s="200"/>
    </row>
    <row r="675">
      <c r="A675" s="200"/>
      <c r="B675" s="200"/>
      <c r="C675" s="200"/>
      <c r="D675" s="201"/>
      <c r="E675" s="200"/>
      <c r="F675" s="200"/>
      <c r="G675" s="200"/>
      <c r="H675" s="200"/>
    </row>
    <row r="676">
      <c r="A676" s="200"/>
      <c r="B676" s="200"/>
      <c r="C676" s="200"/>
      <c r="D676" s="201"/>
      <c r="E676" s="200"/>
      <c r="F676" s="200"/>
      <c r="G676" s="200"/>
      <c r="H676" s="200"/>
    </row>
    <row r="677">
      <c r="A677" s="200"/>
      <c r="B677" s="200"/>
      <c r="C677" s="200"/>
      <c r="D677" s="201"/>
      <c r="E677" s="200"/>
      <c r="F677" s="200"/>
      <c r="G677" s="200"/>
      <c r="H677" s="200"/>
    </row>
    <row r="678">
      <c r="A678" s="200"/>
      <c r="B678" s="200"/>
      <c r="C678" s="200"/>
      <c r="D678" s="201"/>
      <c r="E678" s="200"/>
      <c r="F678" s="200"/>
      <c r="G678" s="200"/>
      <c r="H678" s="200"/>
    </row>
    <row r="679">
      <c r="A679" s="200"/>
      <c r="B679" s="200"/>
      <c r="C679" s="200"/>
      <c r="D679" s="201"/>
      <c r="E679" s="200"/>
      <c r="F679" s="200"/>
      <c r="G679" s="200"/>
      <c r="H679" s="200"/>
    </row>
    <row r="680">
      <c r="A680" s="200"/>
      <c r="B680" s="200"/>
      <c r="C680" s="200"/>
      <c r="D680" s="201"/>
      <c r="E680" s="200"/>
      <c r="F680" s="200"/>
      <c r="G680" s="200"/>
      <c r="H680" s="200"/>
    </row>
    <row r="681">
      <c r="A681" s="200"/>
      <c r="B681" s="200"/>
      <c r="C681" s="200"/>
      <c r="D681" s="201"/>
      <c r="E681" s="200"/>
      <c r="F681" s="200"/>
      <c r="G681" s="200"/>
      <c r="H681" s="200"/>
    </row>
    <row r="682">
      <c r="A682" s="200"/>
      <c r="B682" s="200"/>
      <c r="C682" s="200"/>
      <c r="D682" s="201"/>
      <c r="E682" s="200"/>
      <c r="F682" s="200"/>
      <c r="G682" s="200"/>
      <c r="H682" s="200"/>
    </row>
    <row r="683">
      <c r="A683" s="200"/>
      <c r="B683" s="200"/>
      <c r="C683" s="200"/>
      <c r="D683" s="201"/>
      <c r="E683" s="200"/>
      <c r="F683" s="200"/>
      <c r="G683" s="200"/>
      <c r="H683" s="200"/>
    </row>
    <row r="684">
      <c r="A684" s="200"/>
      <c r="B684" s="200"/>
      <c r="C684" s="200"/>
      <c r="D684" s="201"/>
      <c r="E684" s="200"/>
      <c r="F684" s="200"/>
      <c r="G684" s="200"/>
      <c r="H684" s="200"/>
    </row>
    <row r="685">
      <c r="A685" s="200"/>
      <c r="B685" s="200"/>
      <c r="C685" s="200"/>
      <c r="D685" s="201"/>
      <c r="E685" s="200"/>
      <c r="F685" s="200"/>
      <c r="G685" s="200"/>
      <c r="H685" s="200"/>
    </row>
    <row r="686">
      <c r="A686" s="200"/>
      <c r="B686" s="200"/>
      <c r="C686" s="200"/>
      <c r="D686" s="201"/>
      <c r="E686" s="200"/>
      <c r="F686" s="200"/>
      <c r="G686" s="200"/>
      <c r="H686" s="200"/>
    </row>
    <row r="687">
      <c r="A687" s="200"/>
      <c r="B687" s="200"/>
      <c r="C687" s="200"/>
      <c r="D687" s="201"/>
      <c r="E687" s="200"/>
      <c r="F687" s="200"/>
      <c r="G687" s="200"/>
      <c r="H687" s="200"/>
    </row>
    <row r="688">
      <c r="A688" s="200"/>
      <c r="B688" s="200"/>
      <c r="C688" s="200"/>
      <c r="D688" s="201"/>
      <c r="E688" s="200"/>
      <c r="F688" s="200"/>
      <c r="G688" s="200"/>
      <c r="H688" s="200"/>
    </row>
    <row r="689">
      <c r="A689" s="200"/>
      <c r="B689" s="200"/>
      <c r="C689" s="200"/>
      <c r="D689" s="201"/>
      <c r="E689" s="200"/>
      <c r="F689" s="200"/>
      <c r="G689" s="200"/>
      <c r="H689" s="200"/>
    </row>
    <row r="690">
      <c r="A690" s="200"/>
      <c r="B690" s="200"/>
      <c r="C690" s="200"/>
      <c r="D690" s="201"/>
      <c r="E690" s="200"/>
      <c r="F690" s="200"/>
      <c r="G690" s="200"/>
      <c r="H690" s="200"/>
    </row>
    <row r="691">
      <c r="A691" s="200"/>
      <c r="B691" s="200"/>
      <c r="C691" s="200"/>
      <c r="D691" s="201"/>
      <c r="E691" s="200"/>
      <c r="F691" s="200"/>
      <c r="G691" s="200"/>
      <c r="H691" s="200"/>
    </row>
    <row r="692">
      <c r="A692" s="200"/>
      <c r="B692" s="200"/>
      <c r="C692" s="200"/>
      <c r="D692" s="201"/>
      <c r="E692" s="200"/>
      <c r="F692" s="200"/>
      <c r="G692" s="200"/>
      <c r="H692" s="200"/>
    </row>
    <row r="693">
      <c r="A693" s="200"/>
      <c r="B693" s="200"/>
      <c r="C693" s="200"/>
      <c r="D693" s="201"/>
      <c r="E693" s="200"/>
      <c r="F693" s="200"/>
      <c r="G693" s="200"/>
      <c r="H693" s="200"/>
    </row>
    <row r="694">
      <c r="A694" s="200"/>
      <c r="B694" s="200"/>
      <c r="C694" s="200"/>
      <c r="D694" s="201"/>
      <c r="E694" s="200"/>
      <c r="F694" s="200"/>
      <c r="G694" s="200"/>
      <c r="H694" s="200"/>
    </row>
    <row r="695">
      <c r="A695" s="200"/>
      <c r="B695" s="200"/>
      <c r="C695" s="200"/>
      <c r="D695" s="201"/>
      <c r="E695" s="200"/>
      <c r="F695" s="200"/>
      <c r="G695" s="200"/>
      <c r="H695" s="200"/>
    </row>
    <row r="696">
      <c r="A696" s="200"/>
      <c r="B696" s="200"/>
      <c r="C696" s="200"/>
      <c r="D696" s="201"/>
      <c r="E696" s="200"/>
      <c r="F696" s="200"/>
      <c r="G696" s="200"/>
      <c r="H696" s="200"/>
    </row>
    <row r="697">
      <c r="A697" s="200"/>
      <c r="B697" s="200"/>
      <c r="C697" s="200"/>
      <c r="D697" s="201"/>
      <c r="E697" s="200"/>
      <c r="F697" s="200"/>
      <c r="G697" s="200"/>
      <c r="H697" s="200"/>
    </row>
    <row r="698">
      <c r="A698" s="200"/>
      <c r="B698" s="200"/>
      <c r="C698" s="200"/>
      <c r="D698" s="201"/>
      <c r="E698" s="200"/>
      <c r="F698" s="200"/>
      <c r="G698" s="200"/>
      <c r="H698" s="200"/>
    </row>
    <row r="699">
      <c r="A699" s="200"/>
      <c r="B699" s="200"/>
      <c r="C699" s="200"/>
      <c r="D699" s="201"/>
      <c r="E699" s="200"/>
      <c r="F699" s="200"/>
      <c r="G699" s="200"/>
      <c r="H699" s="200"/>
    </row>
    <row r="700">
      <c r="A700" s="200"/>
      <c r="B700" s="200"/>
      <c r="C700" s="200"/>
      <c r="D700" s="201"/>
      <c r="E700" s="200"/>
      <c r="F700" s="200"/>
      <c r="G700" s="200"/>
      <c r="H700" s="200"/>
    </row>
    <row r="701">
      <c r="A701" s="200"/>
      <c r="B701" s="200"/>
      <c r="C701" s="200"/>
      <c r="D701" s="201"/>
      <c r="E701" s="200"/>
      <c r="F701" s="200"/>
      <c r="G701" s="200"/>
      <c r="H701" s="200"/>
    </row>
    <row r="702">
      <c r="A702" s="200"/>
      <c r="B702" s="200"/>
      <c r="C702" s="200"/>
      <c r="D702" s="201"/>
      <c r="E702" s="200"/>
      <c r="F702" s="200"/>
      <c r="G702" s="200"/>
      <c r="H702" s="200"/>
    </row>
    <row r="703">
      <c r="A703" s="200"/>
      <c r="B703" s="200"/>
      <c r="C703" s="200"/>
      <c r="D703" s="201"/>
      <c r="E703" s="200"/>
      <c r="F703" s="200"/>
      <c r="G703" s="200"/>
      <c r="H703" s="200"/>
    </row>
    <row r="704">
      <c r="A704" s="200"/>
      <c r="B704" s="200"/>
      <c r="C704" s="200"/>
      <c r="D704" s="201"/>
      <c r="E704" s="200"/>
      <c r="F704" s="200"/>
      <c r="G704" s="200"/>
      <c r="H704" s="200"/>
    </row>
    <row r="705">
      <c r="A705" s="200"/>
      <c r="B705" s="200"/>
      <c r="C705" s="200"/>
      <c r="D705" s="201"/>
      <c r="E705" s="200"/>
      <c r="F705" s="200"/>
      <c r="G705" s="200"/>
      <c r="H705" s="200"/>
    </row>
    <row r="706">
      <c r="A706" s="200"/>
      <c r="B706" s="200"/>
      <c r="C706" s="200"/>
      <c r="D706" s="201"/>
      <c r="E706" s="200"/>
      <c r="F706" s="200"/>
      <c r="G706" s="200"/>
      <c r="H706" s="200"/>
    </row>
    <row r="707">
      <c r="A707" s="200"/>
      <c r="B707" s="200"/>
      <c r="C707" s="200"/>
      <c r="D707" s="201"/>
      <c r="E707" s="200"/>
      <c r="F707" s="200"/>
      <c r="G707" s="200"/>
      <c r="H707" s="200"/>
    </row>
    <row r="708">
      <c r="A708" s="200"/>
      <c r="B708" s="200"/>
      <c r="C708" s="200"/>
      <c r="D708" s="201"/>
      <c r="E708" s="200"/>
      <c r="F708" s="200"/>
      <c r="G708" s="200"/>
      <c r="H708" s="200"/>
    </row>
    <row r="709">
      <c r="A709" s="200"/>
      <c r="B709" s="200"/>
      <c r="C709" s="200"/>
      <c r="D709" s="201"/>
      <c r="E709" s="200"/>
      <c r="F709" s="200"/>
      <c r="G709" s="200"/>
      <c r="H709" s="200"/>
    </row>
    <row r="710">
      <c r="A710" s="200"/>
      <c r="B710" s="200"/>
      <c r="C710" s="200"/>
      <c r="D710" s="201"/>
      <c r="E710" s="200"/>
      <c r="F710" s="200"/>
      <c r="G710" s="200"/>
      <c r="H710" s="200"/>
    </row>
    <row r="711">
      <c r="A711" s="200"/>
      <c r="B711" s="200"/>
      <c r="C711" s="200"/>
      <c r="D711" s="201"/>
      <c r="E711" s="200"/>
      <c r="F711" s="200"/>
      <c r="G711" s="200"/>
      <c r="H711" s="200"/>
    </row>
    <row r="712">
      <c r="A712" s="200"/>
      <c r="B712" s="200"/>
      <c r="C712" s="200"/>
      <c r="D712" s="201"/>
      <c r="E712" s="200"/>
      <c r="F712" s="200"/>
      <c r="G712" s="200"/>
      <c r="H712" s="200"/>
    </row>
    <row r="713">
      <c r="A713" s="200"/>
      <c r="B713" s="200"/>
      <c r="C713" s="200"/>
      <c r="D713" s="201"/>
      <c r="E713" s="200"/>
      <c r="F713" s="200"/>
      <c r="G713" s="200"/>
      <c r="H713" s="200"/>
    </row>
    <row r="714">
      <c r="A714" s="200"/>
      <c r="B714" s="200"/>
      <c r="C714" s="200"/>
      <c r="D714" s="201"/>
      <c r="E714" s="200"/>
      <c r="F714" s="200"/>
      <c r="G714" s="200"/>
      <c r="H714" s="200"/>
    </row>
    <row r="715">
      <c r="A715" s="200"/>
      <c r="B715" s="200"/>
      <c r="C715" s="200"/>
      <c r="D715" s="201"/>
      <c r="E715" s="200"/>
      <c r="F715" s="200"/>
      <c r="G715" s="200"/>
      <c r="H715" s="200"/>
    </row>
    <row r="716">
      <c r="A716" s="200"/>
      <c r="B716" s="200"/>
      <c r="C716" s="200"/>
      <c r="D716" s="201"/>
      <c r="E716" s="200"/>
      <c r="F716" s="200"/>
      <c r="G716" s="200"/>
      <c r="H716" s="200"/>
    </row>
    <row r="717">
      <c r="A717" s="200"/>
      <c r="B717" s="200"/>
      <c r="C717" s="200"/>
      <c r="D717" s="201"/>
      <c r="E717" s="200"/>
      <c r="F717" s="200"/>
      <c r="G717" s="200"/>
      <c r="H717" s="200"/>
    </row>
    <row r="718">
      <c r="A718" s="200"/>
      <c r="B718" s="200"/>
      <c r="C718" s="200"/>
      <c r="D718" s="201"/>
      <c r="E718" s="200"/>
      <c r="F718" s="200"/>
      <c r="G718" s="200"/>
      <c r="H718" s="200"/>
    </row>
    <row r="719">
      <c r="A719" s="200"/>
      <c r="B719" s="200"/>
      <c r="C719" s="200"/>
      <c r="D719" s="201"/>
      <c r="E719" s="200"/>
      <c r="F719" s="200"/>
      <c r="G719" s="200"/>
      <c r="H719" s="200"/>
    </row>
    <row r="720">
      <c r="A720" s="200"/>
      <c r="B720" s="200"/>
      <c r="C720" s="200"/>
      <c r="D720" s="201"/>
      <c r="E720" s="200"/>
      <c r="F720" s="200"/>
      <c r="G720" s="200"/>
      <c r="H720" s="200"/>
    </row>
    <row r="721">
      <c r="A721" s="200"/>
      <c r="B721" s="200"/>
      <c r="C721" s="200"/>
      <c r="D721" s="201"/>
      <c r="E721" s="200"/>
      <c r="F721" s="200"/>
      <c r="G721" s="200"/>
      <c r="H721" s="200"/>
    </row>
    <row r="722">
      <c r="A722" s="200"/>
      <c r="B722" s="200"/>
      <c r="C722" s="200"/>
      <c r="D722" s="201"/>
      <c r="E722" s="200"/>
      <c r="F722" s="200"/>
      <c r="G722" s="200"/>
      <c r="H722" s="200"/>
    </row>
    <row r="723">
      <c r="A723" s="200"/>
      <c r="B723" s="200"/>
      <c r="C723" s="200"/>
      <c r="D723" s="201"/>
      <c r="E723" s="200"/>
      <c r="F723" s="200"/>
      <c r="G723" s="200"/>
      <c r="H723" s="200"/>
    </row>
    <row r="724">
      <c r="A724" s="200"/>
      <c r="B724" s="200"/>
      <c r="C724" s="200"/>
      <c r="D724" s="201"/>
      <c r="E724" s="200"/>
      <c r="F724" s="200"/>
      <c r="G724" s="200"/>
      <c r="H724" s="200"/>
    </row>
    <row r="725">
      <c r="A725" s="200"/>
      <c r="B725" s="200"/>
      <c r="C725" s="200"/>
      <c r="D725" s="201"/>
      <c r="E725" s="200"/>
      <c r="F725" s="200"/>
      <c r="G725" s="200"/>
      <c r="H725" s="200"/>
    </row>
    <row r="726">
      <c r="A726" s="200"/>
      <c r="B726" s="200"/>
      <c r="C726" s="200"/>
      <c r="D726" s="201"/>
      <c r="E726" s="200"/>
      <c r="F726" s="200"/>
      <c r="G726" s="200"/>
      <c r="H726" s="200"/>
    </row>
    <row r="727">
      <c r="A727" s="200"/>
      <c r="B727" s="200"/>
      <c r="C727" s="200"/>
      <c r="D727" s="201"/>
      <c r="E727" s="200"/>
      <c r="F727" s="200"/>
      <c r="G727" s="200"/>
      <c r="H727" s="200"/>
    </row>
    <row r="728">
      <c r="A728" s="200"/>
      <c r="B728" s="200"/>
      <c r="C728" s="200"/>
      <c r="D728" s="201"/>
      <c r="E728" s="200"/>
      <c r="F728" s="200"/>
      <c r="G728" s="200"/>
      <c r="H728" s="200"/>
    </row>
    <row r="729">
      <c r="A729" s="200"/>
      <c r="B729" s="200"/>
      <c r="C729" s="200"/>
      <c r="D729" s="201"/>
      <c r="E729" s="200"/>
      <c r="F729" s="200"/>
      <c r="G729" s="200"/>
      <c r="H729" s="200"/>
    </row>
    <row r="730">
      <c r="A730" s="200"/>
      <c r="B730" s="200"/>
      <c r="C730" s="200"/>
      <c r="D730" s="201"/>
      <c r="E730" s="200"/>
      <c r="F730" s="200"/>
      <c r="G730" s="200"/>
      <c r="H730" s="200"/>
    </row>
    <row r="731">
      <c r="A731" s="200"/>
      <c r="B731" s="200"/>
      <c r="C731" s="200"/>
      <c r="D731" s="201"/>
      <c r="E731" s="200"/>
      <c r="F731" s="200"/>
      <c r="G731" s="200"/>
      <c r="H731" s="200"/>
    </row>
    <row r="732">
      <c r="A732" s="200"/>
      <c r="B732" s="200"/>
      <c r="C732" s="200"/>
      <c r="D732" s="201"/>
      <c r="E732" s="200"/>
      <c r="F732" s="200"/>
      <c r="G732" s="200"/>
      <c r="H732" s="200"/>
    </row>
    <row r="733">
      <c r="A733" s="200"/>
      <c r="B733" s="200"/>
      <c r="C733" s="200"/>
      <c r="D733" s="201"/>
      <c r="E733" s="200"/>
      <c r="F733" s="200"/>
      <c r="G733" s="200"/>
      <c r="H733" s="200"/>
    </row>
    <row r="734">
      <c r="A734" s="200"/>
      <c r="B734" s="200"/>
      <c r="C734" s="200"/>
      <c r="D734" s="201"/>
      <c r="E734" s="200"/>
      <c r="F734" s="200"/>
      <c r="G734" s="200"/>
      <c r="H734" s="200"/>
    </row>
    <row r="735">
      <c r="A735" s="200"/>
      <c r="B735" s="200"/>
      <c r="C735" s="200"/>
      <c r="D735" s="201"/>
      <c r="E735" s="200"/>
      <c r="F735" s="200"/>
      <c r="G735" s="200"/>
      <c r="H735" s="200"/>
    </row>
    <row r="736">
      <c r="A736" s="200"/>
      <c r="B736" s="200"/>
      <c r="C736" s="200"/>
      <c r="D736" s="201"/>
      <c r="E736" s="200"/>
      <c r="F736" s="200"/>
      <c r="G736" s="200"/>
      <c r="H736" s="200"/>
    </row>
    <row r="737">
      <c r="A737" s="200"/>
      <c r="B737" s="200"/>
      <c r="C737" s="200"/>
      <c r="D737" s="201"/>
      <c r="E737" s="200"/>
      <c r="F737" s="200"/>
      <c r="G737" s="200"/>
      <c r="H737" s="200"/>
    </row>
    <row r="738">
      <c r="A738" s="200"/>
      <c r="B738" s="200"/>
      <c r="C738" s="200"/>
      <c r="D738" s="201"/>
      <c r="E738" s="200"/>
      <c r="F738" s="200"/>
      <c r="G738" s="200"/>
      <c r="H738" s="200"/>
    </row>
    <row r="739">
      <c r="A739" s="200"/>
      <c r="B739" s="200"/>
      <c r="C739" s="200"/>
      <c r="D739" s="201"/>
      <c r="E739" s="200"/>
      <c r="F739" s="200"/>
      <c r="G739" s="200"/>
      <c r="H739" s="200"/>
    </row>
    <row r="740">
      <c r="A740" s="200"/>
      <c r="B740" s="200"/>
      <c r="C740" s="200"/>
      <c r="D740" s="201"/>
      <c r="E740" s="200"/>
      <c r="F740" s="200"/>
      <c r="G740" s="200"/>
      <c r="H740" s="200"/>
    </row>
    <row r="741">
      <c r="A741" s="200"/>
      <c r="B741" s="200"/>
      <c r="C741" s="200"/>
      <c r="D741" s="201"/>
      <c r="E741" s="200"/>
      <c r="F741" s="200"/>
      <c r="G741" s="200"/>
      <c r="H741" s="200"/>
    </row>
    <row r="742">
      <c r="A742" s="200"/>
      <c r="B742" s="200"/>
      <c r="C742" s="200"/>
      <c r="D742" s="201"/>
      <c r="E742" s="200"/>
      <c r="F742" s="200"/>
      <c r="G742" s="200"/>
      <c r="H742" s="200"/>
    </row>
    <row r="743">
      <c r="A743" s="200"/>
      <c r="B743" s="200"/>
      <c r="C743" s="200"/>
      <c r="D743" s="201"/>
      <c r="E743" s="200"/>
      <c r="F743" s="200"/>
      <c r="G743" s="200"/>
      <c r="H743" s="200"/>
    </row>
    <row r="744">
      <c r="A744" s="200"/>
      <c r="B744" s="200"/>
      <c r="C744" s="200"/>
      <c r="D744" s="201"/>
      <c r="E744" s="200"/>
      <c r="F744" s="200"/>
      <c r="G744" s="200"/>
      <c r="H744" s="200"/>
    </row>
    <row r="745">
      <c r="A745" s="200"/>
      <c r="B745" s="200"/>
      <c r="C745" s="200"/>
      <c r="D745" s="201"/>
      <c r="E745" s="200"/>
      <c r="F745" s="200"/>
      <c r="G745" s="200"/>
      <c r="H745" s="200"/>
    </row>
    <row r="746">
      <c r="A746" s="200"/>
      <c r="B746" s="200"/>
      <c r="C746" s="200"/>
      <c r="D746" s="201"/>
      <c r="E746" s="200"/>
      <c r="F746" s="200"/>
      <c r="G746" s="200"/>
      <c r="H746" s="200"/>
    </row>
    <row r="747">
      <c r="A747" s="200"/>
      <c r="B747" s="200"/>
      <c r="C747" s="200"/>
      <c r="D747" s="201"/>
      <c r="E747" s="200"/>
      <c r="F747" s="200"/>
      <c r="G747" s="200"/>
      <c r="H747" s="200"/>
    </row>
    <row r="748">
      <c r="A748" s="200"/>
      <c r="B748" s="200"/>
      <c r="C748" s="200"/>
      <c r="D748" s="201"/>
      <c r="E748" s="200"/>
      <c r="F748" s="200"/>
      <c r="G748" s="200"/>
      <c r="H748" s="200"/>
    </row>
    <row r="749">
      <c r="A749" s="200"/>
      <c r="B749" s="200"/>
      <c r="C749" s="200"/>
      <c r="D749" s="201"/>
      <c r="E749" s="200"/>
      <c r="F749" s="200"/>
      <c r="G749" s="200"/>
      <c r="H749" s="200"/>
    </row>
    <row r="750">
      <c r="A750" s="200"/>
      <c r="B750" s="200"/>
      <c r="C750" s="200"/>
      <c r="D750" s="201"/>
      <c r="E750" s="200"/>
      <c r="F750" s="200"/>
      <c r="G750" s="200"/>
      <c r="H750" s="200"/>
    </row>
    <row r="751">
      <c r="A751" s="200"/>
      <c r="B751" s="200"/>
      <c r="C751" s="200"/>
      <c r="D751" s="201"/>
      <c r="E751" s="200"/>
      <c r="F751" s="200"/>
      <c r="G751" s="200"/>
      <c r="H751" s="200"/>
    </row>
    <row r="752">
      <c r="A752" s="200"/>
      <c r="B752" s="200"/>
      <c r="C752" s="200"/>
      <c r="D752" s="201"/>
      <c r="E752" s="200"/>
      <c r="F752" s="200"/>
      <c r="G752" s="200"/>
      <c r="H752" s="200"/>
    </row>
    <row r="753">
      <c r="A753" s="200"/>
      <c r="B753" s="200"/>
      <c r="C753" s="200"/>
      <c r="D753" s="201"/>
      <c r="E753" s="200"/>
      <c r="F753" s="200"/>
      <c r="G753" s="200"/>
      <c r="H753" s="200"/>
    </row>
    <row r="754">
      <c r="A754" s="200"/>
      <c r="B754" s="200"/>
      <c r="C754" s="200"/>
      <c r="D754" s="201"/>
      <c r="E754" s="200"/>
      <c r="F754" s="200"/>
      <c r="G754" s="200"/>
      <c r="H754" s="200"/>
    </row>
    <row r="755">
      <c r="A755" s="200"/>
      <c r="B755" s="200"/>
      <c r="C755" s="200"/>
      <c r="D755" s="201"/>
      <c r="E755" s="200"/>
      <c r="F755" s="200"/>
      <c r="G755" s="200"/>
      <c r="H755" s="200"/>
    </row>
    <row r="756">
      <c r="A756" s="200"/>
      <c r="B756" s="200"/>
      <c r="C756" s="200"/>
      <c r="D756" s="201"/>
      <c r="E756" s="200"/>
      <c r="F756" s="200"/>
      <c r="G756" s="200"/>
      <c r="H756" s="200"/>
    </row>
    <row r="757">
      <c r="A757" s="200"/>
      <c r="B757" s="200"/>
      <c r="C757" s="200"/>
      <c r="D757" s="201"/>
      <c r="E757" s="200"/>
      <c r="F757" s="200"/>
      <c r="G757" s="200"/>
      <c r="H757" s="200"/>
    </row>
    <row r="758">
      <c r="A758" s="200"/>
      <c r="B758" s="200"/>
      <c r="C758" s="200"/>
      <c r="D758" s="201"/>
      <c r="E758" s="200"/>
      <c r="F758" s="200"/>
      <c r="G758" s="200"/>
      <c r="H758" s="200"/>
    </row>
    <row r="759">
      <c r="A759" s="200"/>
      <c r="B759" s="200"/>
      <c r="C759" s="200"/>
      <c r="D759" s="201"/>
      <c r="E759" s="200"/>
      <c r="F759" s="200"/>
      <c r="G759" s="200"/>
      <c r="H759" s="200"/>
    </row>
    <row r="760">
      <c r="A760" s="200"/>
      <c r="B760" s="200"/>
      <c r="C760" s="200"/>
      <c r="D760" s="201"/>
      <c r="E760" s="200"/>
      <c r="F760" s="200"/>
      <c r="G760" s="200"/>
      <c r="H760" s="200"/>
    </row>
    <row r="761">
      <c r="A761" s="200"/>
      <c r="B761" s="200"/>
      <c r="C761" s="200"/>
      <c r="D761" s="201"/>
      <c r="E761" s="200"/>
      <c r="F761" s="200"/>
      <c r="G761" s="200"/>
      <c r="H761" s="200"/>
    </row>
    <row r="762">
      <c r="A762" s="200"/>
      <c r="B762" s="200"/>
      <c r="C762" s="200"/>
      <c r="D762" s="201"/>
      <c r="E762" s="200"/>
      <c r="F762" s="200"/>
      <c r="G762" s="200"/>
      <c r="H762" s="200"/>
    </row>
    <row r="763">
      <c r="A763" s="200"/>
      <c r="B763" s="200"/>
      <c r="C763" s="200"/>
      <c r="D763" s="201"/>
      <c r="E763" s="200"/>
      <c r="F763" s="200"/>
      <c r="G763" s="200"/>
      <c r="H763" s="200"/>
    </row>
    <row r="764">
      <c r="A764" s="200"/>
      <c r="B764" s="200"/>
      <c r="C764" s="200"/>
      <c r="D764" s="201"/>
      <c r="E764" s="200"/>
      <c r="F764" s="200"/>
      <c r="G764" s="200"/>
      <c r="H764" s="200"/>
    </row>
    <row r="765">
      <c r="A765" s="200"/>
      <c r="B765" s="200"/>
      <c r="C765" s="200"/>
      <c r="D765" s="201"/>
      <c r="E765" s="200"/>
      <c r="F765" s="200"/>
      <c r="G765" s="200"/>
      <c r="H765" s="200"/>
    </row>
    <row r="766">
      <c r="A766" s="200"/>
      <c r="B766" s="200"/>
      <c r="C766" s="200"/>
      <c r="D766" s="201"/>
      <c r="E766" s="200"/>
      <c r="F766" s="200"/>
      <c r="G766" s="200"/>
      <c r="H766" s="200"/>
    </row>
    <row r="767">
      <c r="A767" s="200"/>
      <c r="B767" s="200"/>
      <c r="C767" s="200"/>
      <c r="D767" s="201"/>
      <c r="E767" s="200"/>
      <c r="F767" s="200"/>
      <c r="G767" s="200"/>
      <c r="H767" s="200"/>
    </row>
    <row r="768">
      <c r="A768" s="200"/>
      <c r="B768" s="200"/>
      <c r="C768" s="200"/>
      <c r="D768" s="201"/>
      <c r="E768" s="200"/>
      <c r="F768" s="200"/>
      <c r="G768" s="200"/>
      <c r="H768" s="200"/>
    </row>
    <row r="769">
      <c r="A769" s="200"/>
      <c r="B769" s="200"/>
      <c r="C769" s="200"/>
      <c r="D769" s="201"/>
      <c r="E769" s="200"/>
      <c r="F769" s="200"/>
      <c r="G769" s="200"/>
      <c r="H769" s="200"/>
    </row>
    <row r="770">
      <c r="A770" s="200"/>
      <c r="B770" s="200"/>
      <c r="C770" s="200"/>
      <c r="D770" s="201"/>
      <c r="E770" s="200"/>
      <c r="F770" s="200"/>
      <c r="G770" s="200"/>
      <c r="H770" s="200"/>
    </row>
    <row r="771">
      <c r="A771" s="200"/>
      <c r="B771" s="200"/>
      <c r="C771" s="200"/>
      <c r="D771" s="201"/>
      <c r="E771" s="200"/>
      <c r="F771" s="200"/>
      <c r="G771" s="200"/>
      <c r="H771" s="200"/>
    </row>
    <row r="772">
      <c r="A772" s="200"/>
      <c r="B772" s="200"/>
      <c r="C772" s="200"/>
      <c r="D772" s="201"/>
      <c r="E772" s="200"/>
      <c r="F772" s="200"/>
      <c r="G772" s="200"/>
      <c r="H772" s="200"/>
    </row>
    <row r="773">
      <c r="A773" s="200"/>
      <c r="B773" s="200"/>
      <c r="C773" s="200"/>
      <c r="D773" s="201"/>
      <c r="E773" s="200"/>
      <c r="F773" s="200"/>
      <c r="G773" s="200"/>
      <c r="H773" s="200"/>
    </row>
    <row r="774">
      <c r="A774" s="200"/>
      <c r="B774" s="200"/>
      <c r="C774" s="200"/>
      <c r="D774" s="201"/>
      <c r="E774" s="200"/>
      <c r="F774" s="200"/>
      <c r="G774" s="200"/>
      <c r="H774" s="200"/>
    </row>
    <row r="775">
      <c r="A775" s="200"/>
      <c r="B775" s="200"/>
      <c r="C775" s="200"/>
      <c r="D775" s="201"/>
      <c r="E775" s="200"/>
      <c r="F775" s="200"/>
      <c r="G775" s="200"/>
      <c r="H775" s="200"/>
    </row>
    <row r="776">
      <c r="A776" s="200"/>
      <c r="B776" s="200"/>
      <c r="C776" s="200"/>
      <c r="D776" s="201"/>
      <c r="E776" s="200"/>
      <c r="F776" s="200"/>
      <c r="G776" s="200"/>
      <c r="H776" s="200"/>
    </row>
    <row r="777">
      <c r="A777" s="200"/>
      <c r="B777" s="200"/>
      <c r="C777" s="200"/>
      <c r="D777" s="201"/>
      <c r="E777" s="200"/>
      <c r="F777" s="200"/>
      <c r="G777" s="200"/>
      <c r="H777" s="200"/>
    </row>
    <row r="778">
      <c r="A778" s="200"/>
      <c r="B778" s="200"/>
      <c r="C778" s="200"/>
      <c r="D778" s="201"/>
      <c r="E778" s="200"/>
      <c r="F778" s="200"/>
      <c r="G778" s="200"/>
      <c r="H778" s="200"/>
    </row>
    <row r="779">
      <c r="A779" s="200"/>
      <c r="B779" s="200"/>
      <c r="C779" s="200"/>
      <c r="D779" s="201"/>
      <c r="E779" s="200"/>
      <c r="F779" s="200"/>
      <c r="G779" s="200"/>
      <c r="H779" s="200"/>
    </row>
    <row r="780">
      <c r="A780" s="200"/>
      <c r="B780" s="200"/>
      <c r="C780" s="200"/>
      <c r="D780" s="201"/>
      <c r="E780" s="200"/>
      <c r="F780" s="200"/>
      <c r="G780" s="200"/>
      <c r="H780" s="200"/>
    </row>
    <row r="781">
      <c r="A781" s="200"/>
      <c r="B781" s="200"/>
      <c r="C781" s="200"/>
      <c r="D781" s="201"/>
      <c r="E781" s="200"/>
      <c r="F781" s="200"/>
      <c r="G781" s="200"/>
      <c r="H781" s="200"/>
    </row>
    <row r="782">
      <c r="A782" s="200"/>
      <c r="B782" s="200"/>
      <c r="C782" s="200"/>
      <c r="D782" s="201"/>
      <c r="E782" s="200"/>
      <c r="F782" s="200"/>
      <c r="G782" s="200"/>
      <c r="H782" s="200"/>
    </row>
    <row r="783">
      <c r="A783" s="200"/>
      <c r="B783" s="200"/>
      <c r="C783" s="200"/>
      <c r="D783" s="201"/>
      <c r="E783" s="200"/>
      <c r="F783" s="200"/>
      <c r="G783" s="200"/>
      <c r="H783" s="200"/>
    </row>
    <row r="784">
      <c r="A784" s="200"/>
      <c r="B784" s="200"/>
      <c r="C784" s="200"/>
      <c r="D784" s="201"/>
      <c r="E784" s="200"/>
      <c r="F784" s="200"/>
      <c r="G784" s="200"/>
      <c r="H784" s="200"/>
    </row>
    <row r="785">
      <c r="A785" s="200"/>
      <c r="B785" s="200"/>
      <c r="C785" s="200"/>
      <c r="D785" s="201"/>
      <c r="E785" s="200"/>
      <c r="F785" s="200"/>
      <c r="G785" s="200"/>
      <c r="H785" s="200"/>
    </row>
    <row r="786">
      <c r="A786" s="200"/>
      <c r="B786" s="200"/>
      <c r="C786" s="200"/>
      <c r="D786" s="201"/>
      <c r="E786" s="200"/>
      <c r="F786" s="200"/>
      <c r="G786" s="200"/>
      <c r="H786" s="200"/>
    </row>
    <row r="787">
      <c r="A787" s="200"/>
      <c r="B787" s="200"/>
      <c r="C787" s="200"/>
      <c r="D787" s="201"/>
      <c r="E787" s="200"/>
      <c r="F787" s="200"/>
      <c r="G787" s="200"/>
      <c r="H787" s="200"/>
    </row>
    <row r="788">
      <c r="A788" s="200"/>
      <c r="B788" s="200"/>
      <c r="C788" s="200"/>
      <c r="D788" s="201"/>
      <c r="E788" s="200"/>
      <c r="F788" s="200"/>
      <c r="G788" s="200"/>
      <c r="H788" s="200"/>
    </row>
    <row r="789">
      <c r="A789" s="200"/>
      <c r="B789" s="200"/>
      <c r="C789" s="200"/>
      <c r="D789" s="201"/>
      <c r="E789" s="200"/>
      <c r="F789" s="200"/>
      <c r="G789" s="200"/>
      <c r="H789" s="200"/>
    </row>
    <row r="790">
      <c r="A790" s="200"/>
      <c r="B790" s="200"/>
      <c r="C790" s="200"/>
      <c r="D790" s="201"/>
      <c r="E790" s="200"/>
      <c r="F790" s="200"/>
      <c r="G790" s="200"/>
      <c r="H790" s="200"/>
    </row>
    <row r="791">
      <c r="A791" s="200"/>
      <c r="B791" s="200"/>
      <c r="C791" s="200"/>
      <c r="D791" s="201"/>
      <c r="E791" s="200"/>
      <c r="F791" s="200"/>
      <c r="G791" s="200"/>
      <c r="H791" s="200"/>
    </row>
    <row r="792">
      <c r="A792" s="200"/>
      <c r="B792" s="200"/>
      <c r="C792" s="200"/>
      <c r="D792" s="201"/>
      <c r="E792" s="200"/>
      <c r="F792" s="200"/>
      <c r="G792" s="200"/>
      <c r="H792" s="200"/>
    </row>
    <row r="793">
      <c r="A793" s="200"/>
      <c r="B793" s="200"/>
      <c r="C793" s="200"/>
      <c r="D793" s="201"/>
      <c r="E793" s="200"/>
      <c r="F793" s="200"/>
      <c r="G793" s="200"/>
      <c r="H793" s="200"/>
    </row>
    <row r="794">
      <c r="A794" s="200"/>
      <c r="B794" s="200"/>
      <c r="C794" s="200"/>
      <c r="D794" s="201"/>
      <c r="E794" s="200"/>
      <c r="F794" s="200"/>
      <c r="G794" s="200"/>
      <c r="H794" s="200"/>
    </row>
    <row r="795">
      <c r="A795" s="200"/>
      <c r="B795" s="200"/>
      <c r="C795" s="200"/>
      <c r="D795" s="201"/>
      <c r="E795" s="200"/>
      <c r="F795" s="200"/>
      <c r="G795" s="200"/>
      <c r="H795" s="200"/>
    </row>
    <row r="796">
      <c r="A796" s="200"/>
      <c r="B796" s="200"/>
      <c r="C796" s="200"/>
      <c r="D796" s="201"/>
      <c r="E796" s="200"/>
      <c r="F796" s="200"/>
      <c r="G796" s="200"/>
      <c r="H796" s="200"/>
    </row>
    <row r="797">
      <c r="A797" s="200"/>
      <c r="B797" s="200"/>
      <c r="C797" s="200"/>
      <c r="D797" s="201"/>
      <c r="E797" s="200"/>
      <c r="F797" s="200"/>
      <c r="G797" s="200"/>
      <c r="H797" s="200"/>
    </row>
    <row r="798">
      <c r="A798" s="200"/>
      <c r="B798" s="200"/>
      <c r="C798" s="200"/>
      <c r="D798" s="201"/>
      <c r="E798" s="200"/>
      <c r="F798" s="200"/>
      <c r="G798" s="200"/>
      <c r="H798" s="200"/>
    </row>
    <row r="799">
      <c r="A799" s="200"/>
      <c r="B799" s="200"/>
      <c r="C799" s="200"/>
      <c r="D799" s="201"/>
      <c r="E799" s="200"/>
      <c r="F799" s="200"/>
      <c r="G799" s="200"/>
      <c r="H799" s="200"/>
    </row>
    <row r="800">
      <c r="A800" s="200"/>
      <c r="B800" s="200"/>
      <c r="C800" s="200"/>
      <c r="D800" s="201"/>
      <c r="E800" s="200"/>
      <c r="F800" s="200"/>
      <c r="G800" s="200"/>
      <c r="H800" s="200"/>
    </row>
    <row r="801">
      <c r="A801" s="200"/>
      <c r="B801" s="200"/>
      <c r="C801" s="200"/>
      <c r="D801" s="201"/>
      <c r="E801" s="200"/>
      <c r="F801" s="200"/>
      <c r="G801" s="200"/>
      <c r="H801" s="200"/>
    </row>
    <row r="802">
      <c r="A802" s="200"/>
      <c r="B802" s="200"/>
      <c r="C802" s="200"/>
      <c r="D802" s="201"/>
      <c r="E802" s="200"/>
      <c r="F802" s="200"/>
      <c r="G802" s="200"/>
      <c r="H802" s="200"/>
    </row>
    <row r="803">
      <c r="A803" s="200"/>
      <c r="B803" s="200"/>
      <c r="C803" s="200"/>
      <c r="D803" s="201"/>
      <c r="E803" s="200"/>
      <c r="F803" s="200"/>
      <c r="G803" s="200"/>
      <c r="H803" s="200"/>
    </row>
    <row r="804">
      <c r="A804" s="200"/>
      <c r="B804" s="200"/>
      <c r="C804" s="200"/>
      <c r="D804" s="201"/>
      <c r="E804" s="200"/>
      <c r="F804" s="200"/>
      <c r="G804" s="200"/>
      <c r="H804" s="200"/>
    </row>
    <row r="805">
      <c r="A805" s="200"/>
      <c r="B805" s="200"/>
      <c r="C805" s="200"/>
      <c r="D805" s="201"/>
      <c r="E805" s="200"/>
      <c r="F805" s="200"/>
      <c r="G805" s="200"/>
      <c r="H805" s="200"/>
    </row>
    <row r="806">
      <c r="A806" s="200"/>
      <c r="B806" s="200"/>
      <c r="C806" s="200"/>
      <c r="D806" s="201"/>
      <c r="E806" s="200"/>
      <c r="F806" s="200"/>
      <c r="G806" s="200"/>
      <c r="H806" s="200"/>
    </row>
    <row r="807">
      <c r="A807" s="200"/>
      <c r="B807" s="200"/>
      <c r="C807" s="200"/>
      <c r="D807" s="201"/>
      <c r="E807" s="200"/>
      <c r="F807" s="200"/>
      <c r="G807" s="200"/>
      <c r="H807" s="200"/>
    </row>
    <row r="808">
      <c r="A808" s="200"/>
      <c r="B808" s="200"/>
      <c r="C808" s="200"/>
      <c r="D808" s="201"/>
      <c r="E808" s="200"/>
      <c r="F808" s="200"/>
      <c r="G808" s="200"/>
      <c r="H808" s="200"/>
    </row>
    <row r="809">
      <c r="A809" s="200"/>
      <c r="B809" s="200"/>
      <c r="C809" s="200"/>
      <c r="D809" s="201"/>
      <c r="E809" s="200"/>
      <c r="F809" s="200"/>
      <c r="G809" s="200"/>
      <c r="H809" s="200"/>
    </row>
    <row r="810">
      <c r="A810" s="200"/>
      <c r="B810" s="200"/>
      <c r="C810" s="200"/>
      <c r="D810" s="201"/>
      <c r="E810" s="200"/>
      <c r="F810" s="200"/>
      <c r="G810" s="200"/>
      <c r="H810" s="200"/>
    </row>
    <row r="811">
      <c r="A811" s="200"/>
      <c r="B811" s="200"/>
      <c r="C811" s="200"/>
      <c r="D811" s="201"/>
      <c r="E811" s="200"/>
      <c r="F811" s="200"/>
      <c r="G811" s="200"/>
      <c r="H811" s="200"/>
    </row>
    <row r="812">
      <c r="A812" s="200"/>
      <c r="B812" s="200"/>
      <c r="C812" s="200"/>
      <c r="D812" s="201"/>
      <c r="E812" s="200"/>
      <c r="F812" s="200"/>
      <c r="G812" s="200"/>
      <c r="H812" s="200"/>
    </row>
    <row r="813">
      <c r="A813" s="200"/>
      <c r="B813" s="200"/>
      <c r="C813" s="200"/>
      <c r="D813" s="201"/>
      <c r="E813" s="200"/>
      <c r="F813" s="200"/>
      <c r="G813" s="200"/>
      <c r="H813" s="200"/>
    </row>
    <row r="814">
      <c r="A814" s="200"/>
      <c r="B814" s="200"/>
      <c r="C814" s="200"/>
      <c r="D814" s="201"/>
      <c r="E814" s="200"/>
      <c r="F814" s="200"/>
      <c r="G814" s="200"/>
      <c r="H814" s="200"/>
    </row>
    <row r="815">
      <c r="A815" s="200"/>
      <c r="B815" s="200"/>
      <c r="C815" s="200"/>
      <c r="D815" s="201"/>
      <c r="E815" s="200"/>
      <c r="F815" s="200"/>
      <c r="G815" s="200"/>
      <c r="H815" s="200"/>
    </row>
    <row r="816">
      <c r="A816" s="200"/>
      <c r="B816" s="200"/>
      <c r="C816" s="200"/>
      <c r="D816" s="201"/>
      <c r="E816" s="200"/>
      <c r="F816" s="200"/>
      <c r="G816" s="200"/>
      <c r="H816" s="200"/>
    </row>
    <row r="817">
      <c r="A817" s="200"/>
      <c r="B817" s="200"/>
      <c r="C817" s="200"/>
      <c r="D817" s="201"/>
      <c r="E817" s="200"/>
      <c r="F817" s="200"/>
      <c r="G817" s="200"/>
      <c r="H817" s="200"/>
    </row>
    <row r="818">
      <c r="A818" s="200"/>
      <c r="B818" s="200"/>
      <c r="C818" s="200"/>
      <c r="D818" s="201"/>
      <c r="E818" s="200"/>
      <c r="F818" s="200"/>
      <c r="G818" s="200"/>
      <c r="H818" s="200"/>
    </row>
    <row r="819">
      <c r="A819" s="200"/>
      <c r="B819" s="200"/>
      <c r="C819" s="200"/>
      <c r="D819" s="201"/>
      <c r="E819" s="200"/>
      <c r="F819" s="200"/>
      <c r="G819" s="200"/>
      <c r="H819" s="200"/>
    </row>
    <row r="820">
      <c r="A820" s="200"/>
      <c r="B820" s="200"/>
      <c r="C820" s="200"/>
      <c r="D820" s="201"/>
      <c r="E820" s="200"/>
      <c r="F820" s="200"/>
      <c r="G820" s="200"/>
      <c r="H820" s="200"/>
    </row>
    <row r="821">
      <c r="A821" s="200"/>
      <c r="B821" s="200"/>
      <c r="C821" s="200"/>
      <c r="D821" s="201"/>
      <c r="E821" s="200"/>
      <c r="F821" s="200"/>
      <c r="G821" s="200"/>
      <c r="H821" s="200"/>
    </row>
    <row r="822">
      <c r="A822" s="200"/>
      <c r="B822" s="200"/>
      <c r="C822" s="200"/>
      <c r="D822" s="201"/>
      <c r="E822" s="200"/>
      <c r="F822" s="200"/>
      <c r="G822" s="200"/>
      <c r="H822" s="200"/>
    </row>
    <row r="823">
      <c r="A823" s="200"/>
      <c r="B823" s="200"/>
      <c r="C823" s="200"/>
      <c r="D823" s="201"/>
      <c r="E823" s="200"/>
      <c r="F823" s="200"/>
      <c r="G823" s="200"/>
      <c r="H823" s="200"/>
    </row>
    <row r="824">
      <c r="A824" s="200"/>
      <c r="B824" s="200"/>
      <c r="C824" s="200"/>
      <c r="D824" s="201"/>
      <c r="E824" s="200"/>
      <c r="F824" s="200"/>
      <c r="G824" s="200"/>
      <c r="H824" s="200"/>
    </row>
    <row r="825">
      <c r="A825" s="200"/>
      <c r="B825" s="200"/>
      <c r="C825" s="200"/>
      <c r="D825" s="201"/>
      <c r="E825" s="200"/>
      <c r="F825" s="200"/>
      <c r="G825" s="200"/>
      <c r="H825" s="200"/>
    </row>
    <row r="826">
      <c r="A826" s="200"/>
      <c r="B826" s="200"/>
      <c r="C826" s="200"/>
      <c r="D826" s="201"/>
      <c r="E826" s="200"/>
      <c r="F826" s="200"/>
      <c r="G826" s="200"/>
      <c r="H826" s="200"/>
    </row>
    <row r="827">
      <c r="A827" s="200"/>
      <c r="B827" s="200"/>
      <c r="C827" s="200"/>
      <c r="D827" s="201"/>
      <c r="E827" s="200"/>
      <c r="F827" s="200"/>
      <c r="G827" s="200"/>
      <c r="H827" s="200"/>
    </row>
    <row r="828">
      <c r="A828" s="200"/>
      <c r="B828" s="200"/>
      <c r="C828" s="200"/>
      <c r="D828" s="201"/>
      <c r="E828" s="200"/>
      <c r="F828" s="200"/>
      <c r="G828" s="200"/>
      <c r="H828" s="200"/>
    </row>
    <row r="829">
      <c r="A829" s="200"/>
      <c r="B829" s="200"/>
      <c r="C829" s="200"/>
      <c r="D829" s="201"/>
      <c r="E829" s="200"/>
      <c r="F829" s="200"/>
      <c r="G829" s="200"/>
      <c r="H829" s="200"/>
    </row>
    <row r="830">
      <c r="A830" s="200"/>
      <c r="B830" s="200"/>
      <c r="C830" s="200"/>
      <c r="D830" s="201"/>
      <c r="E830" s="200"/>
      <c r="F830" s="200"/>
      <c r="G830" s="200"/>
      <c r="H830" s="200"/>
    </row>
    <row r="831">
      <c r="A831" s="200"/>
      <c r="B831" s="200"/>
      <c r="C831" s="200"/>
      <c r="D831" s="201"/>
      <c r="E831" s="200"/>
      <c r="F831" s="200"/>
      <c r="G831" s="200"/>
      <c r="H831" s="200"/>
    </row>
    <row r="832">
      <c r="A832" s="200"/>
      <c r="B832" s="200"/>
      <c r="C832" s="200"/>
      <c r="D832" s="201"/>
      <c r="E832" s="200"/>
      <c r="F832" s="200"/>
      <c r="G832" s="200"/>
      <c r="H832" s="200"/>
    </row>
    <row r="833">
      <c r="A833" s="200"/>
      <c r="B833" s="200"/>
      <c r="C833" s="200"/>
      <c r="D833" s="201"/>
      <c r="E833" s="200"/>
      <c r="F833" s="200"/>
      <c r="G833" s="200"/>
      <c r="H833" s="200"/>
    </row>
    <row r="834">
      <c r="A834" s="200"/>
      <c r="B834" s="200"/>
      <c r="C834" s="200"/>
      <c r="D834" s="201"/>
      <c r="E834" s="200"/>
      <c r="F834" s="200"/>
      <c r="G834" s="200"/>
      <c r="H834" s="200"/>
    </row>
    <row r="835">
      <c r="A835" s="200"/>
      <c r="B835" s="200"/>
      <c r="C835" s="200"/>
      <c r="D835" s="201"/>
      <c r="E835" s="200"/>
      <c r="F835" s="200"/>
      <c r="G835" s="200"/>
      <c r="H835" s="200"/>
    </row>
    <row r="836">
      <c r="A836" s="200"/>
      <c r="B836" s="200"/>
      <c r="C836" s="200"/>
      <c r="D836" s="201"/>
      <c r="E836" s="200"/>
      <c r="F836" s="200"/>
      <c r="G836" s="200"/>
      <c r="H836" s="200"/>
    </row>
    <row r="837">
      <c r="A837" s="200"/>
      <c r="B837" s="200"/>
      <c r="C837" s="200"/>
      <c r="D837" s="201"/>
      <c r="E837" s="200"/>
      <c r="F837" s="200"/>
      <c r="G837" s="200"/>
      <c r="H837" s="200"/>
    </row>
    <row r="838">
      <c r="A838" s="200"/>
      <c r="B838" s="200"/>
      <c r="C838" s="200"/>
      <c r="D838" s="201"/>
      <c r="E838" s="200"/>
      <c r="F838" s="200"/>
      <c r="G838" s="200"/>
      <c r="H838" s="200"/>
    </row>
    <row r="839">
      <c r="A839" s="200"/>
      <c r="B839" s="200"/>
      <c r="C839" s="200"/>
      <c r="D839" s="201"/>
      <c r="E839" s="200"/>
      <c r="F839" s="200"/>
      <c r="G839" s="200"/>
      <c r="H839" s="200"/>
    </row>
    <row r="840">
      <c r="A840" s="200"/>
      <c r="B840" s="200"/>
      <c r="C840" s="200"/>
      <c r="D840" s="201"/>
      <c r="E840" s="200"/>
      <c r="F840" s="200"/>
      <c r="G840" s="200"/>
      <c r="H840" s="200"/>
    </row>
    <row r="841">
      <c r="A841" s="200"/>
      <c r="B841" s="200"/>
      <c r="C841" s="200"/>
      <c r="D841" s="201"/>
      <c r="E841" s="200"/>
      <c r="F841" s="200"/>
      <c r="G841" s="200"/>
      <c r="H841" s="200"/>
    </row>
    <row r="842">
      <c r="A842" s="200"/>
      <c r="B842" s="200"/>
      <c r="C842" s="200"/>
      <c r="D842" s="201"/>
      <c r="E842" s="200"/>
      <c r="F842" s="200"/>
      <c r="G842" s="200"/>
      <c r="H842" s="200"/>
    </row>
    <row r="843">
      <c r="A843" s="200"/>
      <c r="B843" s="200"/>
      <c r="C843" s="200"/>
      <c r="D843" s="201"/>
      <c r="E843" s="200"/>
      <c r="F843" s="200"/>
      <c r="G843" s="200"/>
      <c r="H843" s="200"/>
    </row>
    <row r="844">
      <c r="A844" s="200"/>
      <c r="B844" s="200"/>
      <c r="C844" s="200"/>
      <c r="D844" s="201"/>
      <c r="E844" s="200"/>
      <c r="F844" s="200"/>
      <c r="G844" s="200"/>
      <c r="H844" s="200"/>
    </row>
    <row r="845">
      <c r="A845" s="200"/>
      <c r="B845" s="200"/>
      <c r="C845" s="200"/>
      <c r="D845" s="201"/>
      <c r="E845" s="200"/>
      <c r="F845" s="200"/>
      <c r="G845" s="200"/>
      <c r="H845" s="200"/>
    </row>
    <row r="846">
      <c r="A846" s="200"/>
      <c r="B846" s="200"/>
      <c r="C846" s="200"/>
      <c r="D846" s="201"/>
      <c r="E846" s="200"/>
      <c r="F846" s="200"/>
      <c r="G846" s="200"/>
      <c r="H846" s="200"/>
    </row>
    <row r="847">
      <c r="A847" s="200"/>
      <c r="B847" s="200"/>
      <c r="C847" s="200"/>
      <c r="D847" s="201"/>
      <c r="E847" s="200"/>
      <c r="F847" s="200"/>
      <c r="G847" s="200"/>
      <c r="H847" s="200"/>
    </row>
    <row r="848">
      <c r="A848" s="200"/>
      <c r="B848" s="200"/>
      <c r="C848" s="200"/>
      <c r="D848" s="201"/>
      <c r="E848" s="200"/>
      <c r="F848" s="200"/>
      <c r="G848" s="200"/>
      <c r="H848" s="200"/>
    </row>
    <row r="849">
      <c r="A849" s="200"/>
      <c r="B849" s="200"/>
      <c r="C849" s="200"/>
      <c r="D849" s="201"/>
      <c r="E849" s="200"/>
      <c r="F849" s="200"/>
      <c r="G849" s="200"/>
      <c r="H849" s="200"/>
    </row>
    <row r="850">
      <c r="A850" s="200"/>
      <c r="B850" s="200"/>
      <c r="C850" s="200"/>
      <c r="D850" s="201"/>
      <c r="E850" s="200"/>
      <c r="F850" s="200"/>
      <c r="G850" s="200"/>
      <c r="H850" s="200"/>
    </row>
    <row r="851">
      <c r="A851" s="200"/>
      <c r="B851" s="200"/>
      <c r="C851" s="200"/>
      <c r="D851" s="201"/>
      <c r="E851" s="200"/>
      <c r="F851" s="200"/>
      <c r="G851" s="200"/>
      <c r="H851" s="200"/>
    </row>
    <row r="852">
      <c r="A852" s="200"/>
      <c r="B852" s="200"/>
      <c r="C852" s="200"/>
      <c r="D852" s="201"/>
      <c r="E852" s="200"/>
      <c r="F852" s="200"/>
      <c r="G852" s="200"/>
      <c r="H852" s="200"/>
    </row>
    <row r="853">
      <c r="A853" s="200"/>
      <c r="B853" s="200"/>
      <c r="C853" s="200"/>
      <c r="D853" s="201"/>
      <c r="E853" s="200"/>
      <c r="F853" s="200"/>
      <c r="G853" s="200"/>
      <c r="H853" s="200"/>
    </row>
    <row r="854">
      <c r="A854" s="200"/>
      <c r="B854" s="200"/>
      <c r="C854" s="200"/>
      <c r="D854" s="201"/>
      <c r="E854" s="200"/>
      <c r="F854" s="200"/>
      <c r="G854" s="200"/>
      <c r="H854" s="200"/>
    </row>
    <row r="855">
      <c r="A855" s="200"/>
      <c r="B855" s="200"/>
      <c r="C855" s="200"/>
      <c r="D855" s="201"/>
      <c r="E855" s="200"/>
      <c r="F855" s="200"/>
      <c r="G855" s="200"/>
      <c r="H855" s="200"/>
    </row>
    <row r="856">
      <c r="A856" s="200"/>
      <c r="B856" s="200"/>
      <c r="C856" s="200"/>
      <c r="D856" s="201"/>
      <c r="E856" s="200"/>
      <c r="F856" s="200"/>
      <c r="G856" s="200"/>
      <c r="H856" s="200"/>
    </row>
    <row r="857">
      <c r="A857" s="200"/>
      <c r="B857" s="200"/>
      <c r="C857" s="200"/>
      <c r="D857" s="201"/>
      <c r="E857" s="200"/>
      <c r="F857" s="200"/>
      <c r="G857" s="200"/>
      <c r="H857" s="200"/>
    </row>
    <row r="858">
      <c r="A858" s="200"/>
      <c r="B858" s="200"/>
      <c r="C858" s="200"/>
      <c r="D858" s="201"/>
      <c r="E858" s="200"/>
      <c r="F858" s="200"/>
      <c r="G858" s="200"/>
      <c r="H858" s="200"/>
    </row>
    <row r="859">
      <c r="A859" s="200"/>
      <c r="B859" s="200"/>
      <c r="C859" s="200"/>
      <c r="D859" s="201"/>
      <c r="E859" s="200"/>
      <c r="F859" s="200"/>
      <c r="G859" s="200"/>
      <c r="H859" s="200"/>
    </row>
    <row r="860">
      <c r="A860" s="200"/>
      <c r="B860" s="200"/>
      <c r="C860" s="200"/>
      <c r="D860" s="201"/>
      <c r="E860" s="200"/>
      <c r="F860" s="200"/>
      <c r="G860" s="200"/>
      <c r="H860" s="200"/>
    </row>
    <row r="861">
      <c r="A861" s="200"/>
      <c r="B861" s="200"/>
      <c r="C861" s="200"/>
      <c r="D861" s="201"/>
      <c r="E861" s="200"/>
      <c r="F861" s="200"/>
      <c r="G861" s="200"/>
      <c r="H861" s="200"/>
    </row>
    <row r="862">
      <c r="A862" s="200"/>
      <c r="B862" s="200"/>
      <c r="C862" s="200"/>
      <c r="D862" s="201"/>
      <c r="E862" s="200"/>
      <c r="F862" s="200"/>
      <c r="G862" s="200"/>
      <c r="H862" s="200"/>
    </row>
    <row r="863">
      <c r="A863" s="200"/>
      <c r="B863" s="200"/>
      <c r="C863" s="200"/>
      <c r="D863" s="201"/>
      <c r="E863" s="200"/>
      <c r="F863" s="200"/>
      <c r="G863" s="200"/>
      <c r="H863" s="200"/>
    </row>
    <row r="864">
      <c r="A864" s="200"/>
      <c r="B864" s="200"/>
      <c r="C864" s="200"/>
      <c r="D864" s="201"/>
      <c r="E864" s="200"/>
      <c r="F864" s="200"/>
      <c r="G864" s="200"/>
      <c r="H864" s="200"/>
    </row>
    <row r="865">
      <c r="A865" s="200"/>
      <c r="B865" s="200"/>
      <c r="C865" s="200"/>
      <c r="D865" s="201"/>
      <c r="E865" s="200"/>
      <c r="F865" s="200"/>
      <c r="G865" s="200"/>
      <c r="H865" s="200"/>
    </row>
    <row r="866">
      <c r="A866" s="200"/>
      <c r="B866" s="200"/>
      <c r="C866" s="200"/>
      <c r="D866" s="201"/>
      <c r="E866" s="200"/>
      <c r="F866" s="200"/>
      <c r="G866" s="200"/>
      <c r="H866" s="200"/>
    </row>
    <row r="867">
      <c r="A867" s="200"/>
      <c r="B867" s="200"/>
      <c r="C867" s="200"/>
      <c r="D867" s="201"/>
      <c r="E867" s="200"/>
      <c r="F867" s="200"/>
      <c r="G867" s="200"/>
      <c r="H867" s="200"/>
    </row>
    <row r="868">
      <c r="A868" s="200"/>
      <c r="B868" s="200"/>
      <c r="C868" s="200"/>
      <c r="D868" s="201"/>
      <c r="E868" s="200"/>
      <c r="F868" s="200"/>
      <c r="G868" s="200"/>
      <c r="H868" s="200"/>
    </row>
    <row r="869">
      <c r="A869" s="200"/>
      <c r="B869" s="200"/>
      <c r="C869" s="200"/>
      <c r="D869" s="201"/>
      <c r="E869" s="200"/>
      <c r="F869" s="200"/>
      <c r="G869" s="200"/>
      <c r="H869" s="200"/>
    </row>
    <row r="870">
      <c r="A870" s="200"/>
      <c r="B870" s="200"/>
      <c r="C870" s="200"/>
      <c r="D870" s="201"/>
      <c r="E870" s="200"/>
      <c r="F870" s="200"/>
      <c r="G870" s="200"/>
      <c r="H870" s="200"/>
    </row>
    <row r="871">
      <c r="A871" s="200"/>
      <c r="B871" s="200"/>
      <c r="C871" s="200"/>
      <c r="D871" s="201"/>
      <c r="E871" s="200"/>
      <c r="F871" s="200"/>
      <c r="G871" s="200"/>
      <c r="H871" s="200"/>
    </row>
    <row r="872">
      <c r="A872" s="200"/>
      <c r="B872" s="200"/>
      <c r="C872" s="200"/>
      <c r="D872" s="201"/>
      <c r="E872" s="200"/>
      <c r="F872" s="200"/>
      <c r="G872" s="200"/>
      <c r="H872" s="200"/>
    </row>
    <row r="873">
      <c r="A873" s="200"/>
      <c r="B873" s="200"/>
      <c r="C873" s="200"/>
      <c r="D873" s="201"/>
      <c r="E873" s="200"/>
      <c r="F873" s="200"/>
      <c r="G873" s="200"/>
      <c r="H873" s="200"/>
    </row>
    <row r="874">
      <c r="A874" s="200"/>
      <c r="B874" s="200"/>
      <c r="C874" s="200"/>
      <c r="D874" s="201"/>
      <c r="E874" s="200"/>
      <c r="F874" s="200"/>
      <c r="G874" s="200"/>
      <c r="H874" s="200"/>
    </row>
    <row r="875">
      <c r="A875" s="200"/>
      <c r="B875" s="200"/>
      <c r="C875" s="200"/>
      <c r="D875" s="201"/>
      <c r="E875" s="200"/>
      <c r="F875" s="200"/>
      <c r="G875" s="200"/>
      <c r="H875" s="200"/>
    </row>
    <row r="876">
      <c r="A876" s="200"/>
      <c r="B876" s="200"/>
      <c r="C876" s="200"/>
      <c r="D876" s="201"/>
      <c r="E876" s="200"/>
      <c r="F876" s="200"/>
      <c r="G876" s="200"/>
      <c r="H876" s="200"/>
    </row>
    <row r="877">
      <c r="A877" s="200"/>
      <c r="B877" s="200"/>
      <c r="C877" s="200"/>
      <c r="D877" s="201"/>
      <c r="E877" s="200"/>
      <c r="F877" s="200"/>
      <c r="G877" s="200"/>
      <c r="H877" s="200"/>
    </row>
    <row r="878">
      <c r="A878" s="200"/>
      <c r="B878" s="200"/>
      <c r="C878" s="200"/>
      <c r="D878" s="201"/>
      <c r="E878" s="200"/>
      <c r="F878" s="200"/>
      <c r="G878" s="200"/>
      <c r="H878" s="200"/>
    </row>
    <row r="879">
      <c r="A879" s="200"/>
      <c r="B879" s="200"/>
      <c r="C879" s="200"/>
      <c r="D879" s="201"/>
      <c r="E879" s="200"/>
      <c r="F879" s="200"/>
      <c r="G879" s="200"/>
      <c r="H879" s="200"/>
    </row>
    <row r="880">
      <c r="A880" s="200"/>
      <c r="B880" s="200"/>
      <c r="C880" s="200"/>
      <c r="D880" s="201"/>
      <c r="E880" s="200"/>
      <c r="F880" s="200"/>
      <c r="G880" s="200"/>
      <c r="H880" s="200"/>
    </row>
    <row r="881">
      <c r="A881" s="200"/>
      <c r="B881" s="200"/>
      <c r="C881" s="200"/>
      <c r="D881" s="201"/>
      <c r="E881" s="200"/>
      <c r="F881" s="200"/>
      <c r="G881" s="200"/>
      <c r="H881" s="200"/>
    </row>
    <row r="882">
      <c r="A882" s="200"/>
      <c r="B882" s="200"/>
      <c r="C882" s="200"/>
      <c r="D882" s="201"/>
      <c r="E882" s="200"/>
      <c r="F882" s="200"/>
      <c r="G882" s="200"/>
      <c r="H882" s="200"/>
    </row>
    <row r="883">
      <c r="A883" s="200"/>
      <c r="B883" s="200"/>
      <c r="C883" s="200"/>
      <c r="D883" s="201"/>
      <c r="E883" s="200"/>
      <c r="F883" s="200"/>
      <c r="G883" s="200"/>
      <c r="H883" s="200"/>
    </row>
    <row r="884">
      <c r="A884" s="200"/>
      <c r="B884" s="200"/>
      <c r="C884" s="200"/>
      <c r="D884" s="201"/>
      <c r="E884" s="200"/>
      <c r="F884" s="200"/>
      <c r="G884" s="200"/>
      <c r="H884" s="200"/>
    </row>
    <row r="885">
      <c r="A885" s="200"/>
      <c r="B885" s="200"/>
      <c r="C885" s="200"/>
      <c r="D885" s="201"/>
      <c r="E885" s="200"/>
      <c r="F885" s="200"/>
      <c r="G885" s="200"/>
      <c r="H885" s="200"/>
    </row>
    <row r="886">
      <c r="A886" s="200"/>
      <c r="B886" s="200"/>
      <c r="C886" s="200"/>
      <c r="D886" s="201"/>
      <c r="E886" s="200"/>
      <c r="F886" s="200"/>
      <c r="G886" s="200"/>
      <c r="H886" s="200"/>
    </row>
    <row r="887">
      <c r="A887" s="200"/>
      <c r="B887" s="200"/>
      <c r="C887" s="200"/>
      <c r="D887" s="201"/>
      <c r="E887" s="200"/>
      <c r="F887" s="200"/>
      <c r="G887" s="200"/>
      <c r="H887" s="200"/>
    </row>
    <row r="888">
      <c r="A888" s="200"/>
      <c r="B888" s="200"/>
      <c r="C888" s="200"/>
      <c r="D888" s="201"/>
      <c r="E888" s="200"/>
      <c r="F888" s="200"/>
      <c r="G888" s="200"/>
      <c r="H888" s="200"/>
    </row>
    <row r="889">
      <c r="A889" s="200"/>
      <c r="B889" s="200"/>
      <c r="C889" s="200"/>
      <c r="D889" s="201"/>
      <c r="E889" s="200"/>
      <c r="F889" s="200"/>
      <c r="G889" s="200"/>
      <c r="H889" s="200"/>
    </row>
    <row r="890">
      <c r="A890" s="200"/>
      <c r="B890" s="200"/>
      <c r="C890" s="200"/>
      <c r="D890" s="201"/>
      <c r="E890" s="200"/>
      <c r="F890" s="200"/>
      <c r="G890" s="200"/>
      <c r="H890" s="200"/>
    </row>
    <row r="891">
      <c r="A891" s="200"/>
      <c r="B891" s="200"/>
      <c r="C891" s="200"/>
      <c r="D891" s="201"/>
      <c r="E891" s="200"/>
      <c r="F891" s="200"/>
      <c r="G891" s="200"/>
      <c r="H891" s="200"/>
    </row>
    <row r="892">
      <c r="A892" s="200"/>
      <c r="B892" s="200"/>
      <c r="C892" s="200"/>
      <c r="D892" s="201"/>
      <c r="E892" s="200"/>
      <c r="F892" s="200"/>
      <c r="G892" s="200"/>
      <c r="H892" s="200"/>
    </row>
    <row r="893">
      <c r="A893" s="200"/>
      <c r="B893" s="200"/>
      <c r="C893" s="200"/>
      <c r="D893" s="201"/>
      <c r="E893" s="200"/>
      <c r="F893" s="200"/>
      <c r="G893" s="200"/>
      <c r="H893" s="200"/>
    </row>
    <row r="894">
      <c r="A894" s="200"/>
      <c r="B894" s="200"/>
      <c r="C894" s="200"/>
      <c r="D894" s="201"/>
      <c r="E894" s="200"/>
      <c r="F894" s="200"/>
      <c r="G894" s="200"/>
      <c r="H894" s="200"/>
    </row>
    <row r="895">
      <c r="A895" s="200"/>
      <c r="B895" s="200"/>
      <c r="C895" s="200"/>
      <c r="D895" s="201"/>
      <c r="E895" s="200"/>
      <c r="F895" s="200"/>
      <c r="G895" s="200"/>
      <c r="H895" s="200"/>
    </row>
    <row r="896">
      <c r="A896" s="200"/>
      <c r="B896" s="200"/>
      <c r="C896" s="200"/>
      <c r="D896" s="201"/>
      <c r="E896" s="200"/>
      <c r="F896" s="200"/>
      <c r="G896" s="200"/>
      <c r="H896" s="200"/>
    </row>
    <row r="897">
      <c r="A897" s="200"/>
      <c r="B897" s="200"/>
      <c r="C897" s="200"/>
      <c r="D897" s="201"/>
      <c r="E897" s="200"/>
      <c r="F897" s="200"/>
      <c r="G897" s="200"/>
      <c r="H897" s="200"/>
    </row>
    <row r="898">
      <c r="A898" s="200"/>
      <c r="B898" s="200"/>
      <c r="C898" s="200"/>
      <c r="D898" s="201"/>
      <c r="E898" s="200"/>
      <c r="F898" s="200"/>
      <c r="G898" s="200"/>
      <c r="H898" s="200"/>
    </row>
    <row r="899">
      <c r="A899" s="200"/>
      <c r="B899" s="200"/>
      <c r="C899" s="200"/>
      <c r="D899" s="201"/>
      <c r="E899" s="200"/>
      <c r="F899" s="200"/>
      <c r="G899" s="200"/>
      <c r="H899" s="200"/>
    </row>
    <row r="900">
      <c r="A900" s="200"/>
      <c r="B900" s="200"/>
      <c r="C900" s="200"/>
      <c r="D900" s="201"/>
      <c r="E900" s="200"/>
      <c r="F900" s="200"/>
      <c r="G900" s="200"/>
      <c r="H900" s="200"/>
    </row>
    <row r="901">
      <c r="A901" s="200"/>
      <c r="B901" s="200"/>
      <c r="C901" s="200"/>
      <c r="D901" s="201"/>
      <c r="E901" s="200"/>
      <c r="F901" s="200"/>
      <c r="G901" s="200"/>
      <c r="H901" s="200"/>
    </row>
    <row r="902">
      <c r="A902" s="200"/>
      <c r="B902" s="200"/>
      <c r="C902" s="200"/>
      <c r="D902" s="201"/>
      <c r="E902" s="200"/>
      <c r="F902" s="200"/>
      <c r="G902" s="200"/>
      <c r="H902" s="200"/>
    </row>
    <row r="903">
      <c r="A903" s="200"/>
      <c r="B903" s="200"/>
      <c r="C903" s="200"/>
      <c r="D903" s="201"/>
      <c r="E903" s="200"/>
      <c r="F903" s="200"/>
      <c r="G903" s="200"/>
      <c r="H903" s="200"/>
    </row>
    <row r="904">
      <c r="A904" s="200"/>
      <c r="B904" s="200"/>
      <c r="C904" s="200"/>
      <c r="D904" s="201"/>
      <c r="E904" s="200"/>
      <c r="F904" s="200"/>
      <c r="G904" s="200"/>
      <c r="H904" s="200"/>
    </row>
    <row r="905">
      <c r="A905" s="200"/>
      <c r="B905" s="200"/>
      <c r="C905" s="200"/>
      <c r="D905" s="201"/>
      <c r="E905" s="200"/>
      <c r="F905" s="200"/>
      <c r="G905" s="200"/>
      <c r="H905" s="200"/>
    </row>
    <row r="906">
      <c r="A906" s="200"/>
      <c r="B906" s="200"/>
      <c r="C906" s="200"/>
      <c r="D906" s="201"/>
      <c r="E906" s="200"/>
      <c r="F906" s="200"/>
      <c r="G906" s="200"/>
      <c r="H906" s="200"/>
    </row>
    <row r="907">
      <c r="A907" s="200"/>
      <c r="B907" s="200"/>
      <c r="C907" s="200"/>
      <c r="D907" s="201"/>
      <c r="E907" s="200"/>
      <c r="F907" s="200"/>
      <c r="G907" s="200"/>
      <c r="H907" s="200"/>
    </row>
    <row r="908">
      <c r="A908" s="200"/>
      <c r="B908" s="200"/>
      <c r="C908" s="200"/>
      <c r="D908" s="201"/>
      <c r="E908" s="200"/>
      <c r="F908" s="200"/>
      <c r="G908" s="200"/>
      <c r="H908" s="200"/>
    </row>
    <row r="909">
      <c r="A909" s="200"/>
      <c r="B909" s="200"/>
      <c r="C909" s="200"/>
      <c r="D909" s="201"/>
      <c r="E909" s="200"/>
      <c r="F909" s="200"/>
      <c r="G909" s="200"/>
      <c r="H909" s="200"/>
    </row>
    <row r="910">
      <c r="A910" s="200"/>
      <c r="B910" s="200"/>
      <c r="C910" s="200"/>
      <c r="D910" s="201"/>
      <c r="E910" s="200"/>
      <c r="F910" s="200"/>
      <c r="G910" s="200"/>
      <c r="H910" s="200"/>
    </row>
    <row r="911">
      <c r="A911" s="200"/>
      <c r="B911" s="200"/>
      <c r="C911" s="200"/>
      <c r="D911" s="201"/>
      <c r="E911" s="200"/>
      <c r="F911" s="200"/>
      <c r="G911" s="200"/>
      <c r="H911" s="200"/>
    </row>
    <row r="912">
      <c r="A912" s="200"/>
      <c r="B912" s="200"/>
      <c r="C912" s="200"/>
      <c r="D912" s="201"/>
      <c r="E912" s="200"/>
      <c r="F912" s="200"/>
      <c r="G912" s="200"/>
      <c r="H912" s="200"/>
    </row>
    <row r="913">
      <c r="A913" s="200"/>
      <c r="B913" s="200"/>
      <c r="C913" s="200"/>
      <c r="D913" s="201"/>
      <c r="E913" s="200"/>
      <c r="F913" s="200"/>
      <c r="G913" s="200"/>
      <c r="H913" s="200"/>
    </row>
    <row r="914">
      <c r="A914" s="200"/>
      <c r="B914" s="200"/>
      <c r="C914" s="200"/>
      <c r="D914" s="201"/>
      <c r="E914" s="200"/>
      <c r="F914" s="200"/>
      <c r="G914" s="200"/>
      <c r="H914" s="200"/>
    </row>
    <row r="915">
      <c r="A915" s="200"/>
      <c r="B915" s="200"/>
      <c r="C915" s="200"/>
      <c r="D915" s="201"/>
      <c r="E915" s="200"/>
      <c r="F915" s="200"/>
      <c r="G915" s="200"/>
      <c r="H915" s="200"/>
    </row>
    <row r="916">
      <c r="A916" s="200"/>
      <c r="B916" s="200"/>
      <c r="C916" s="200"/>
      <c r="D916" s="201"/>
      <c r="E916" s="200"/>
      <c r="F916" s="200"/>
      <c r="G916" s="200"/>
      <c r="H916" s="200"/>
    </row>
    <row r="917">
      <c r="A917" s="200"/>
      <c r="B917" s="200"/>
      <c r="C917" s="200"/>
      <c r="D917" s="201"/>
      <c r="E917" s="200"/>
      <c r="F917" s="200"/>
      <c r="G917" s="200"/>
      <c r="H917" s="200"/>
    </row>
    <row r="918">
      <c r="A918" s="200"/>
      <c r="B918" s="200"/>
      <c r="C918" s="200"/>
      <c r="D918" s="201"/>
      <c r="E918" s="200"/>
      <c r="F918" s="200"/>
      <c r="G918" s="200"/>
      <c r="H918" s="200"/>
    </row>
    <row r="919">
      <c r="A919" s="200"/>
      <c r="B919" s="200"/>
      <c r="C919" s="200"/>
      <c r="D919" s="201"/>
      <c r="E919" s="200"/>
      <c r="F919" s="200"/>
      <c r="G919" s="200"/>
      <c r="H919" s="200"/>
    </row>
    <row r="920">
      <c r="A920" s="200"/>
      <c r="B920" s="200"/>
      <c r="C920" s="200"/>
      <c r="D920" s="201"/>
      <c r="E920" s="200"/>
      <c r="F920" s="200"/>
      <c r="G920" s="200"/>
      <c r="H920" s="200"/>
    </row>
    <row r="921">
      <c r="A921" s="200"/>
      <c r="B921" s="200"/>
      <c r="C921" s="200"/>
      <c r="D921" s="201"/>
      <c r="E921" s="200"/>
      <c r="F921" s="200"/>
      <c r="G921" s="200"/>
      <c r="H921" s="200"/>
    </row>
    <row r="922">
      <c r="A922" s="200"/>
      <c r="B922" s="200"/>
      <c r="C922" s="200"/>
      <c r="D922" s="201"/>
      <c r="E922" s="200"/>
      <c r="F922" s="200"/>
      <c r="G922" s="200"/>
      <c r="H922" s="200"/>
    </row>
    <row r="923">
      <c r="A923" s="200"/>
      <c r="B923" s="200"/>
      <c r="C923" s="200"/>
      <c r="D923" s="201"/>
      <c r="E923" s="200"/>
      <c r="F923" s="200"/>
      <c r="G923" s="200"/>
      <c r="H923" s="200"/>
    </row>
    <row r="924">
      <c r="A924" s="200"/>
      <c r="B924" s="200"/>
      <c r="C924" s="200"/>
      <c r="D924" s="201"/>
      <c r="E924" s="200"/>
      <c r="F924" s="200"/>
      <c r="G924" s="200"/>
      <c r="H924" s="200"/>
    </row>
    <row r="925">
      <c r="A925" s="200"/>
      <c r="B925" s="200"/>
      <c r="C925" s="200"/>
      <c r="D925" s="201"/>
      <c r="E925" s="200"/>
      <c r="F925" s="200"/>
      <c r="G925" s="200"/>
      <c r="H925" s="200"/>
    </row>
    <row r="926">
      <c r="A926" s="200"/>
      <c r="B926" s="200"/>
      <c r="C926" s="200"/>
      <c r="D926" s="201"/>
      <c r="E926" s="200"/>
      <c r="F926" s="200"/>
      <c r="G926" s="200"/>
      <c r="H926" s="200"/>
    </row>
    <row r="927">
      <c r="A927" s="200"/>
      <c r="B927" s="200"/>
      <c r="C927" s="200"/>
      <c r="D927" s="201"/>
      <c r="E927" s="200"/>
      <c r="F927" s="200"/>
      <c r="G927" s="200"/>
      <c r="H927" s="200"/>
    </row>
    <row r="928">
      <c r="A928" s="200"/>
      <c r="B928" s="200"/>
      <c r="C928" s="200"/>
      <c r="D928" s="201"/>
      <c r="E928" s="200"/>
      <c r="F928" s="200"/>
      <c r="G928" s="200"/>
      <c r="H928" s="200"/>
    </row>
    <row r="929">
      <c r="A929" s="200"/>
      <c r="B929" s="200"/>
      <c r="C929" s="200"/>
      <c r="D929" s="201"/>
      <c r="E929" s="200"/>
      <c r="F929" s="200"/>
      <c r="G929" s="200"/>
      <c r="H929" s="200"/>
    </row>
    <row r="930">
      <c r="A930" s="200"/>
      <c r="B930" s="200"/>
      <c r="C930" s="200"/>
      <c r="D930" s="201"/>
      <c r="E930" s="200"/>
      <c r="F930" s="200"/>
      <c r="G930" s="200"/>
      <c r="H930" s="200"/>
    </row>
    <row r="931">
      <c r="A931" s="200"/>
      <c r="B931" s="200"/>
      <c r="C931" s="200"/>
      <c r="D931" s="201"/>
      <c r="E931" s="200"/>
      <c r="F931" s="200"/>
      <c r="G931" s="200"/>
      <c r="H931" s="200"/>
    </row>
    <row r="932">
      <c r="A932" s="200"/>
      <c r="B932" s="200"/>
      <c r="C932" s="200"/>
      <c r="D932" s="201"/>
      <c r="E932" s="200"/>
      <c r="F932" s="200"/>
      <c r="G932" s="200"/>
      <c r="H932" s="200"/>
    </row>
    <row r="933">
      <c r="A933" s="200"/>
      <c r="B933" s="200"/>
      <c r="C933" s="200"/>
      <c r="D933" s="201"/>
      <c r="E933" s="200"/>
      <c r="F933" s="200"/>
      <c r="G933" s="200"/>
      <c r="H933" s="200"/>
    </row>
    <row r="934">
      <c r="A934" s="200"/>
      <c r="B934" s="200"/>
      <c r="C934" s="200"/>
      <c r="D934" s="201"/>
      <c r="E934" s="200"/>
      <c r="F934" s="200"/>
      <c r="G934" s="200"/>
      <c r="H934" s="200"/>
    </row>
    <row r="935">
      <c r="A935" s="200"/>
      <c r="B935" s="200"/>
      <c r="C935" s="200"/>
      <c r="D935" s="201"/>
      <c r="E935" s="200"/>
      <c r="F935" s="200"/>
      <c r="G935" s="200"/>
      <c r="H935" s="200"/>
    </row>
    <row r="936">
      <c r="A936" s="200"/>
      <c r="B936" s="200"/>
      <c r="C936" s="200"/>
      <c r="D936" s="201"/>
      <c r="E936" s="200"/>
      <c r="F936" s="200"/>
      <c r="G936" s="200"/>
      <c r="H936" s="200"/>
    </row>
    <row r="937">
      <c r="A937" s="200"/>
      <c r="B937" s="200"/>
      <c r="C937" s="200"/>
      <c r="D937" s="201"/>
      <c r="E937" s="200"/>
      <c r="F937" s="200"/>
      <c r="G937" s="200"/>
      <c r="H937" s="200"/>
    </row>
    <row r="938">
      <c r="A938" s="200"/>
      <c r="B938" s="200"/>
      <c r="C938" s="200"/>
      <c r="D938" s="201"/>
      <c r="E938" s="200"/>
      <c r="F938" s="200"/>
      <c r="G938" s="200"/>
      <c r="H938" s="200"/>
    </row>
    <row r="939">
      <c r="A939" s="200"/>
      <c r="B939" s="200"/>
      <c r="C939" s="200"/>
      <c r="D939" s="201"/>
      <c r="E939" s="200"/>
      <c r="F939" s="200"/>
      <c r="G939" s="200"/>
      <c r="H939" s="200"/>
    </row>
    <row r="940">
      <c r="A940" s="200"/>
      <c r="B940" s="200"/>
      <c r="C940" s="200"/>
      <c r="D940" s="201"/>
      <c r="E940" s="200"/>
      <c r="F940" s="200"/>
      <c r="G940" s="200"/>
      <c r="H940" s="200"/>
    </row>
    <row r="941">
      <c r="A941" s="200"/>
      <c r="B941" s="200"/>
      <c r="C941" s="200"/>
      <c r="D941" s="201"/>
      <c r="E941" s="200"/>
      <c r="F941" s="200"/>
      <c r="G941" s="200"/>
      <c r="H941" s="200"/>
    </row>
    <row r="942">
      <c r="A942" s="200"/>
      <c r="B942" s="200"/>
      <c r="C942" s="200"/>
      <c r="D942" s="201"/>
      <c r="E942" s="200"/>
      <c r="F942" s="200"/>
      <c r="G942" s="200"/>
      <c r="H942" s="200"/>
    </row>
    <row r="943">
      <c r="A943" s="200"/>
      <c r="B943" s="200"/>
      <c r="C943" s="200"/>
      <c r="D943" s="201"/>
      <c r="E943" s="200"/>
      <c r="F943" s="200"/>
      <c r="G943" s="200"/>
      <c r="H943" s="200"/>
    </row>
    <row r="944">
      <c r="A944" s="200"/>
      <c r="B944" s="200"/>
      <c r="C944" s="200"/>
      <c r="D944" s="201"/>
      <c r="E944" s="200"/>
      <c r="F944" s="200"/>
      <c r="G944" s="200"/>
      <c r="H944" s="200"/>
    </row>
    <row r="945">
      <c r="A945" s="200"/>
      <c r="B945" s="200"/>
      <c r="C945" s="200"/>
      <c r="D945" s="201"/>
      <c r="E945" s="200"/>
      <c r="F945" s="200"/>
      <c r="G945" s="200"/>
      <c r="H945" s="200"/>
    </row>
    <row r="946">
      <c r="A946" s="200"/>
      <c r="B946" s="200"/>
      <c r="C946" s="200"/>
      <c r="D946" s="201"/>
      <c r="E946" s="200"/>
      <c r="F946" s="200"/>
      <c r="G946" s="200"/>
      <c r="H946" s="200"/>
    </row>
    <row r="947">
      <c r="A947" s="200"/>
      <c r="B947" s="200"/>
      <c r="C947" s="200"/>
      <c r="D947" s="201"/>
      <c r="E947" s="200"/>
      <c r="F947" s="200"/>
      <c r="G947" s="200"/>
      <c r="H947" s="200"/>
    </row>
    <row r="948">
      <c r="A948" s="200"/>
      <c r="B948" s="200"/>
      <c r="C948" s="200"/>
      <c r="D948" s="201"/>
      <c r="E948" s="200"/>
      <c r="F948" s="200"/>
      <c r="G948" s="200"/>
      <c r="H948" s="200"/>
    </row>
    <row r="949">
      <c r="A949" s="200"/>
      <c r="B949" s="200"/>
      <c r="C949" s="200"/>
      <c r="D949" s="201"/>
      <c r="E949" s="200"/>
      <c r="F949" s="200"/>
      <c r="G949" s="200"/>
      <c r="H949" s="200"/>
    </row>
    <row r="950">
      <c r="A950" s="200"/>
      <c r="B950" s="200"/>
      <c r="C950" s="200"/>
      <c r="D950" s="201"/>
      <c r="E950" s="200"/>
      <c r="F950" s="200"/>
      <c r="G950" s="200"/>
      <c r="H950" s="200"/>
    </row>
    <row r="951">
      <c r="A951" s="200"/>
      <c r="B951" s="200"/>
      <c r="C951" s="200"/>
      <c r="D951" s="201"/>
      <c r="E951" s="200"/>
      <c r="F951" s="200"/>
      <c r="G951" s="200"/>
      <c r="H951" s="200"/>
    </row>
    <row r="952">
      <c r="A952" s="200"/>
      <c r="B952" s="200"/>
      <c r="C952" s="200"/>
      <c r="D952" s="201"/>
      <c r="E952" s="200"/>
      <c r="F952" s="200"/>
      <c r="G952" s="200"/>
      <c r="H952" s="200"/>
    </row>
    <row r="953">
      <c r="A953" s="200"/>
      <c r="B953" s="200"/>
      <c r="C953" s="200"/>
      <c r="D953" s="201"/>
      <c r="E953" s="200"/>
      <c r="F953" s="200"/>
      <c r="G953" s="200"/>
      <c r="H953" s="200"/>
    </row>
    <row r="954">
      <c r="A954" s="200"/>
      <c r="B954" s="200"/>
      <c r="C954" s="200"/>
      <c r="D954" s="201"/>
      <c r="E954" s="200"/>
      <c r="F954" s="200"/>
      <c r="G954" s="200"/>
      <c r="H954" s="200"/>
    </row>
    <row r="955">
      <c r="A955" s="200"/>
      <c r="B955" s="200"/>
      <c r="C955" s="200"/>
      <c r="D955" s="201"/>
      <c r="E955" s="200"/>
      <c r="F955" s="200"/>
      <c r="G955" s="200"/>
      <c r="H955" s="200"/>
    </row>
    <row r="956">
      <c r="A956" s="200"/>
      <c r="B956" s="200"/>
      <c r="C956" s="200"/>
      <c r="D956" s="201"/>
      <c r="E956" s="200"/>
      <c r="F956" s="200"/>
      <c r="G956" s="200"/>
      <c r="H956" s="200"/>
    </row>
    <row r="957">
      <c r="A957" s="200"/>
      <c r="B957" s="200"/>
      <c r="C957" s="200"/>
      <c r="D957" s="201"/>
      <c r="E957" s="200"/>
      <c r="F957" s="200"/>
      <c r="G957" s="200"/>
      <c r="H957" s="200"/>
    </row>
    <row r="958">
      <c r="A958" s="200"/>
      <c r="B958" s="200"/>
      <c r="C958" s="200"/>
      <c r="D958" s="201"/>
      <c r="E958" s="200"/>
      <c r="F958" s="200"/>
      <c r="G958" s="200"/>
      <c r="H958" s="200"/>
    </row>
    <row r="959">
      <c r="A959" s="200"/>
      <c r="B959" s="200"/>
      <c r="C959" s="200"/>
      <c r="D959" s="201"/>
      <c r="E959" s="200"/>
      <c r="F959" s="200"/>
      <c r="G959" s="200"/>
      <c r="H959" s="200"/>
    </row>
    <row r="960">
      <c r="A960" s="200"/>
      <c r="B960" s="200"/>
      <c r="C960" s="200"/>
      <c r="D960" s="201"/>
      <c r="E960" s="200"/>
      <c r="F960" s="200"/>
      <c r="G960" s="200"/>
      <c r="H960" s="200"/>
    </row>
    <row r="961">
      <c r="A961" s="200"/>
      <c r="B961" s="200"/>
      <c r="C961" s="200"/>
      <c r="D961" s="201"/>
      <c r="E961" s="200"/>
      <c r="F961" s="200"/>
      <c r="G961" s="200"/>
      <c r="H961" s="200"/>
    </row>
    <row r="962">
      <c r="A962" s="200"/>
      <c r="B962" s="200"/>
      <c r="C962" s="200"/>
      <c r="D962" s="201"/>
      <c r="E962" s="200"/>
      <c r="F962" s="200"/>
      <c r="G962" s="200"/>
      <c r="H962" s="200"/>
    </row>
    <row r="963">
      <c r="A963" s="200"/>
      <c r="B963" s="200"/>
      <c r="C963" s="200"/>
      <c r="D963" s="201"/>
      <c r="E963" s="200"/>
      <c r="F963" s="200"/>
      <c r="G963" s="200"/>
      <c r="H963" s="200"/>
    </row>
    <row r="964">
      <c r="A964" s="200"/>
      <c r="B964" s="200"/>
      <c r="C964" s="200"/>
      <c r="D964" s="201"/>
      <c r="E964" s="200"/>
      <c r="F964" s="200"/>
      <c r="G964" s="200"/>
      <c r="H964" s="200"/>
    </row>
    <row r="965">
      <c r="A965" s="200"/>
      <c r="B965" s="200"/>
      <c r="C965" s="200"/>
      <c r="D965" s="201"/>
      <c r="E965" s="200"/>
      <c r="F965" s="200"/>
      <c r="G965" s="200"/>
      <c r="H965" s="200"/>
    </row>
    <row r="966">
      <c r="A966" s="200"/>
      <c r="B966" s="200"/>
      <c r="C966" s="200"/>
      <c r="D966" s="201"/>
      <c r="E966" s="200"/>
      <c r="F966" s="200"/>
      <c r="G966" s="200"/>
      <c r="H966" s="200"/>
    </row>
    <row r="967">
      <c r="A967" s="200"/>
      <c r="B967" s="200"/>
      <c r="C967" s="200"/>
      <c r="D967" s="201"/>
      <c r="E967" s="200"/>
      <c r="F967" s="200"/>
      <c r="G967" s="200"/>
      <c r="H967" s="200"/>
    </row>
    <row r="968">
      <c r="A968" s="200"/>
      <c r="B968" s="200"/>
      <c r="C968" s="200"/>
      <c r="D968" s="201"/>
      <c r="E968" s="200"/>
      <c r="F968" s="200"/>
      <c r="G968" s="200"/>
      <c r="H968" s="200"/>
    </row>
    <row r="969">
      <c r="A969" s="200"/>
      <c r="B969" s="200"/>
      <c r="C969" s="200"/>
      <c r="D969" s="201"/>
      <c r="E969" s="200"/>
      <c r="F969" s="200"/>
      <c r="G969" s="200"/>
      <c r="H969" s="200"/>
    </row>
    <row r="970">
      <c r="A970" s="200"/>
      <c r="B970" s="200"/>
      <c r="C970" s="200"/>
      <c r="D970" s="201"/>
      <c r="E970" s="200"/>
      <c r="F970" s="200"/>
      <c r="G970" s="200"/>
      <c r="H970" s="200"/>
    </row>
    <row r="971">
      <c r="A971" s="200"/>
      <c r="B971" s="200"/>
      <c r="C971" s="200"/>
      <c r="D971" s="201"/>
      <c r="E971" s="200"/>
      <c r="F971" s="200"/>
      <c r="G971" s="200"/>
      <c r="H971" s="200"/>
    </row>
    <row r="972">
      <c r="A972" s="200"/>
      <c r="B972" s="200"/>
      <c r="C972" s="200"/>
      <c r="D972" s="201"/>
      <c r="E972" s="200"/>
      <c r="F972" s="200"/>
      <c r="G972" s="200"/>
      <c r="H972" s="200"/>
    </row>
    <row r="973">
      <c r="A973" s="200"/>
      <c r="B973" s="200"/>
      <c r="C973" s="200"/>
      <c r="D973" s="201"/>
      <c r="E973" s="200"/>
      <c r="F973" s="200"/>
      <c r="G973" s="200"/>
      <c r="H973" s="200"/>
    </row>
    <row r="974">
      <c r="A974" s="200"/>
      <c r="B974" s="200"/>
      <c r="C974" s="200"/>
      <c r="D974" s="201"/>
      <c r="E974" s="200"/>
      <c r="F974" s="200"/>
      <c r="G974" s="200"/>
      <c r="H974" s="200"/>
    </row>
    <row r="975">
      <c r="A975" s="200"/>
      <c r="B975" s="200"/>
      <c r="C975" s="200"/>
      <c r="D975" s="201"/>
      <c r="E975" s="200"/>
      <c r="F975" s="200"/>
      <c r="G975" s="200"/>
      <c r="H975" s="200"/>
    </row>
    <row r="976">
      <c r="A976" s="200"/>
      <c r="B976" s="200"/>
      <c r="C976" s="200"/>
      <c r="D976" s="201"/>
      <c r="E976" s="200"/>
      <c r="F976" s="200"/>
      <c r="G976" s="200"/>
      <c r="H976" s="200"/>
    </row>
    <row r="977">
      <c r="A977" s="200"/>
      <c r="B977" s="200"/>
      <c r="C977" s="200"/>
      <c r="D977" s="201"/>
      <c r="E977" s="200"/>
      <c r="F977" s="200"/>
      <c r="G977" s="200"/>
      <c r="H977" s="200"/>
    </row>
    <row r="978">
      <c r="A978" s="200"/>
      <c r="B978" s="200"/>
      <c r="C978" s="200"/>
      <c r="D978" s="201"/>
      <c r="E978" s="200"/>
      <c r="F978" s="200"/>
      <c r="G978" s="200"/>
      <c r="H978" s="200"/>
    </row>
    <row r="979">
      <c r="A979" s="200"/>
      <c r="B979" s="200"/>
      <c r="C979" s="200"/>
      <c r="D979" s="201"/>
      <c r="E979" s="200"/>
      <c r="F979" s="200"/>
      <c r="G979" s="200"/>
      <c r="H979" s="200"/>
    </row>
    <row r="980">
      <c r="A980" s="200"/>
      <c r="B980" s="200"/>
      <c r="C980" s="200"/>
      <c r="D980" s="201"/>
      <c r="E980" s="200"/>
      <c r="F980" s="200"/>
      <c r="G980" s="200"/>
      <c r="H980" s="200"/>
    </row>
    <row r="981">
      <c r="A981" s="200"/>
      <c r="B981" s="200"/>
      <c r="C981" s="200"/>
      <c r="D981" s="201"/>
      <c r="E981" s="200"/>
      <c r="F981" s="200"/>
      <c r="G981" s="200"/>
      <c r="H981" s="200"/>
    </row>
    <row r="982">
      <c r="A982" s="200"/>
      <c r="B982" s="200"/>
      <c r="C982" s="200"/>
      <c r="D982" s="201"/>
      <c r="E982" s="200"/>
      <c r="F982" s="200"/>
      <c r="G982" s="200"/>
      <c r="H982" s="200"/>
    </row>
    <row r="983">
      <c r="A983" s="200"/>
      <c r="B983" s="200"/>
      <c r="C983" s="200"/>
      <c r="D983" s="201"/>
      <c r="E983" s="200"/>
      <c r="F983" s="200"/>
      <c r="G983" s="200"/>
      <c r="H983" s="200"/>
    </row>
    <row r="984">
      <c r="A984" s="200"/>
      <c r="B984" s="200"/>
      <c r="C984" s="200"/>
      <c r="D984" s="201"/>
      <c r="E984" s="200"/>
      <c r="F984" s="200"/>
      <c r="G984" s="200"/>
      <c r="H984" s="200"/>
    </row>
    <row r="985">
      <c r="A985" s="200"/>
      <c r="B985" s="200"/>
      <c r="C985" s="200"/>
      <c r="D985" s="201"/>
      <c r="E985" s="200"/>
      <c r="F985" s="200"/>
      <c r="G985" s="200"/>
      <c r="H985" s="200"/>
    </row>
    <row r="986">
      <c r="A986" s="200"/>
      <c r="B986" s="200"/>
      <c r="C986" s="200"/>
      <c r="D986" s="201"/>
      <c r="E986" s="200"/>
      <c r="F986" s="200"/>
      <c r="G986" s="200"/>
      <c r="H986" s="200"/>
    </row>
    <row r="987">
      <c r="A987" s="200"/>
      <c r="B987" s="200"/>
      <c r="C987" s="200"/>
      <c r="D987" s="201"/>
      <c r="E987" s="200"/>
      <c r="F987" s="200"/>
      <c r="G987" s="200"/>
      <c r="H987" s="200"/>
    </row>
    <row r="988">
      <c r="A988" s="200"/>
      <c r="B988" s="200"/>
      <c r="C988" s="200"/>
      <c r="D988" s="201"/>
      <c r="E988" s="200"/>
      <c r="F988" s="200"/>
      <c r="G988" s="200"/>
      <c r="H988" s="200"/>
    </row>
    <row r="989">
      <c r="A989" s="200"/>
      <c r="B989" s="200"/>
      <c r="C989" s="200"/>
      <c r="D989" s="201"/>
      <c r="E989" s="200"/>
      <c r="F989" s="200"/>
      <c r="G989" s="200"/>
      <c r="H989" s="200"/>
    </row>
    <row r="990">
      <c r="A990" s="200"/>
      <c r="B990" s="200"/>
      <c r="C990" s="200"/>
      <c r="D990" s="201"/>
      <c r="E990" s="200"/>
      <c r="F990" s="200"/>
      <c r="G990" s="200"/>
      <c r="H990" s="200"/>
    </row>
    <row r="991">
      <c r="A991" s="200"/>
      <c r="B991" s="200"/>
      <c r="C991" s="200"/>
      <c r="D991" s="201"/>
      <c r="E991" s="200"/>
      <c r="F991" s="200"/>
      <c r="G991" s="200"/>
      <c r="H991" s="200"/>
    </row>
    <row r="992">
      <c r="A992" s="200"/>
      <c r="B992" s="200"/>
      <c r="C992" s="200"/>
      <c r="D992" s="201"/>
      <c r="E992" s="200"/>
      <c r="F992" s="200"/>
      <c r="G992" s="200"/>
      <c r="H992" s="200"/>
    </row>
    <row r="993">
      <c r="A993" s="200"/>
      <c r="B993" s="200"/>
      <c r="C993" s="200"/>
      <c r="D993" s="201"/>
      <c r="E993" s="200"/>
      <c r="F993" s="200"/>
      <c r="G993" s="200"/>
      <c r="H993" s="200"/>
    </row>
    <row r="994">
      <c r="A994" s="200"/>
      <c r="B994" s="200"/>
      <c r="C994" s="200"/>
      <c r="D994" s="201"/>
      <c r="E994" s="200"/>
      <c r="F994" s="200"/>
      <c r="G994" s="200"/>
      <c r="H994" s="200"/>
    </row>
    <row r="995">
      <c r="A995" s="200"/>
      <c r="B995" s="200"/>
      <c r="C995" s="200"/>
      <c r="D995" s="201"/>
      <c r="E995" s="200"/>
      <c r="F995" s="200"/>
      <c r="G995" s="200"/>
      <c r="H995" s="200"/>
    </row>
    <row r="996">
      <c r="A996" s="200"/>
      <c r="B996" s="200"/>
      <c r="C996" s="200"/>
      <c r="D996" s="201"/>
      <c r="E996" s="200"/>
      <c r="F996" s="200"/>
      <c r="G996" s="200"/>
      <c r="H996" s="200"/>
    </row>
    <row r="997">
      <c r="A997" s="200"/>
      <c r="B997" s="200"/>
      <c r="C997" s="200"/>
      <c r="D997" s="201"/>
      <c r="E997" s="200"/>
      <c r="F997" s="200"/>
      <c r="G997" s="200"/>
      <c r="H997" s="200"/>
    </row>
    <row r="998">
      <c r="A998" s="200"/>
      <c r="B998" s="200"/>
      <c r="C998" s="200"/>
      <c r="D998" s="201"/>
      <c r="E998" s="200"/>
      <c r="F998" s="200"/>
      <c r="G998" s="200"/>
      <c r="H998" s="200"/>
    </row>
    <row r="999">
      <c r="A999" s="200"/>
      <c r="B999" s="200"/>
      <c r="C999" s="200"/>
      <c r="D999" s="201"/>
      <c r="E999" s="200"/>
      <c r="F999" s="200"/>
      <c r="G999" s="200"/>
      <c r="H999" s="200"/>
    </row>
    <row r="1000">
      <c r="A1000" s="200"/>
      <c r="B1000" s="200"/>
      <c r="C1000" s="200"/>
      <c r="D1000" s="201"/>
      <c r="E1000" s="200"/>
      <c r="F1000" s="200"/>
      <c r="G1000" s="200"/>
      <c r="H1000" s="200"/>
    </row>
    <row r="1001">
      <c r="A1001" s="200"/>
      <c r="B1001" s="200"/>
      <c r="C1001" s="200"/>
      <c r="D1001" s="201"/>
      <c r="E1001" s="200"/>
      <c r="F1001" s="200"/>
      <c r="G1001" s="200"/>
      <c r="H1001" s="200"/>
    </row>
    <row r="1002">
      <c r="A1002" s="200"/>
      <c r="B1002" s="200"/>
      <c r="C1002" s="200"/>
      <c r="D1002" s="201"/>
      <c r="E1002" s="200"/>
      <c r="F1002" s="200"/>
      <c r="G1002" s="200"/>
      <c r="H1002" s="200"/>
    </row>
    <row r="1003">
      <c r="A1003" s="200"/>
      <c r="B1003" s="200"/>
      <c r="C1003" s="200"/>
      <c r="D1003" s="201"/>
      <c r="E1003" s="200"/>
      <c r="F1003" s="200"/>
      <c r="G1003" s="200"/>
      <c r="H1003" s="200"/>
    </row>
    <row r="1004">
      <c r="A1004" s="200"/>
      <c r="B1004" s="200"/>
      <c r="C1004" s="200"/>
      <c r="D1004" s="201"/>
      <c r="E1004" s="200"/>
      <c r="F1004" s="200"/>
      <c r="G1004" s="200"/>
      <c r="H1004" s="200"/>
    </row>
    <row r="1005">
      <c r="A1005" s="200"/>
      <c r="B1005" s="200"/>
      <c r="C1005" s="200"/>
      <c r="D1005" s="201"/>
      <c r="E1005" s="200"/>
      <c r="F1005" s="200"/>
      <c r="G1005" s="200"/>
      <c r="H1005" s="200"/>
    </row>
    <row r="1006">
      <c r="A1006" s="200"/>
      <c r="B1006" s="200"/>
      <c r="C1006" s="200"/>
      <c r="D1006" s="201"/>
      <c r="E1006" s="200"/>
      <c r="F1006" s="200"/>
      <c r="G1006" s="200"/>
      <c r="H1006" s="200"/>
    </row>
    <row r="1007">
      <c r="A1007" s="200"/>
      <c r="B1007" s="200"/>
      <c r="C1007" s="200"/>
      <c r="D1007" s="201"/>
      <c r="E1007" s="200"/>
      <c r="F1007" s="200"/>
      <c r="G1007" s="200"/>
      <c r="H1007" s="200"/>
    </row>
    <row r="1008">
      <c r="A1008" s="200"/>
      <c r="B1008" s="200"/>
      <c r="C1008" s="200"/>
      <c r="D1008" s="201"/>
      <c r="E1008" s="200"/>
      <c r="F1008" s="200"/>
      <c r="G1008" s="200"/>
      <c r="H1008" s="200"/>
    </row>
    <row r="1009">
      <c r="A1009" s="200"/>
      <c r="B1009" s="200"/>
      <c r="C1009" s="200"/>
      <c r="D1009" s="201"/>
      <c r="E1009" s="200"/>
      <c r="F1009" s="200"/>
      <c r="G1009" s="200"/>
      <c r="H1009" s="200"/>
    </row>
    <row r="1010">
      <c r="A1010" s="200"/>
      <c r="B1010" s="200"/>
      <c r="C1010" s="200"/>
      <c r="D1010" s="201"/>
      <c r="E1010" s="200"/>
      <c r="F1010" s="200"/>
      <c r="G1010" s="200"/>
      <c r="H1010" s="200"/>
    </row>
    <row r="1011">
      <c r="A1011" s="200"/>
      <c r="B1011" s="200"/>
      <c r="C1011" s="200"/>
      <c r="D1011" s="201"/>
      <c r="E1011" s="200"/>
      <c r="F1011" s="200"/>
      <c r="G1011" s="200"/>
      <c r="H1011" s="200"/>
    </row>
    <row r="1012">
      <c r="A1012" s="200"/>
      <c r="B1012" s="200"/>
      <c r="C1012" s="200"/>
      <c r="D1012" s="201"/>
      <c r="E1012" s="200"/>
      <c r="F1012" s="200"/>
      <c r="G1012" s="200"/>
      <c r="H1012" s="200"/>
    </row>
    <row r="1013">
      <c r="A1013" s="200"/>
      <c r="B1013" s="200"/>
      <c r="C1013" s="200"/>
      <c r="D1013" s="201"/>
      <c r="E1013" s="200"/>
      <c r="F1013" s="200"/>
      <c r="G1013" s="200"/>
      <c r="H1013" s="200"/>
    </row>
    <row r="1014">
      <c r="A1014" s="200"/>
      <c r="B1014" s="200"/>
      <c r="C1014" s="200"/>
      <c r="D1014" s="201"/>
      <c r="E1014" s="200"/>
      <c r="F1014" s="200"/>
      <c r="G1014" s="200"/>
      <c r="H1014" s="200"/>
    </row>
    <row r="1015">
      <c r="A1015" s="200"/>
      <c r="B1015" s="200"/>
      <c r="C1015" s="200"/>
      <c r="D1015" s="201"/>
      <c r="E1015" s="200"/>
      <c r="F1015" s="200"/>
      <c r="G1015" s="200"/>
      <c r="H1015" s="200"/>
    </row>
    <row r="1016">
      <c r="A1016" s="200"/>
      <c r="B1016" s="200"/>
      <c r="C1016" s="200"/>
      <c r="D1016" s="201"/>
      <c r="E1016" s="200"/>
      <c r="F1016" s="200"/>
      <c r="G1016" s="200"/>
      <c r="H1016" s="200"/>
    </row>
    <row r="1017">
      <c r="A1017" s="200"/>
      <c r="B1017" s="200"/>
      <c r="C1017" s="200"/>
      <c r="D1017" s="201"/>
      <c r="E1017" s="200"/>
      <c r="F1017" s="200"/>
      <c r="G1017" s="200"/>
      <c r="H1017" s="200"/>
    </row>
    <row r="1018">
      <c r="A1018" s="200"/>
      <c r="B1018" s="200"/>
      <c r="C1018" s="200"/>
      <c r="D1018" s="201"/>
      <c r="E1018" s="200"/>
      <c r="F1018" s="200"/>
      <c r="G1018" s="200"/>
      <c r="H1018" s="200"/>
    </row>
    <row r="1019">
      <c r="A1019" s="200"/>
      <c r="B1019" s="200"/>
      <c r="C1019" s="200"/>
      <c r="D1019" s="201"/>
      <c r="E1019" s="200"/>
      <c r="F1019" s="200"/>
      <c r="G1019" s="200"/>
      <c r="H1019" s="200"/>
    </row>
    <row r="1020">
      <c r="A1020" s="200"/>
      <c r="B1020" s="200"/>
      <c r="C1020" s="200"/>
      <c r="D1020" s="201"/>
      <c r="E1020" s="200"/>
      <c r="F1020" s="200"/>
      <c r="G1020" s="200"/>
      <c r="H1020" s="200"/>
    </row>
    <row r="1021">
      <c r="A1021" s="200"/>
      <c r="B1021" s="200"/>
      <c r="C1021" s="200"/>
      <c r="D1021" s="201"/>
      <c r="E1021" s="200"/>
      <c r="F1021" s="200"/>
      <c r="G1021" s="200"/>
      <c r="H1021" s="200"/>
    </row>
    <row r="1022">
      <c r="A1022" s="200"/>
      <c r="B1022" s="200"/>
      <c r="C1022" s="200"/>
      <c r="D1022" s="201"/>
      <c r="E1022" s="200"/>
      <c r="F1022" s="200"/>
      <c r="G1022" s="200"/>
      <c r="H1022" s="200"/>
    </row>
    <row r="1023">
      <c r="A1023" s="200"/>
      <c r="B1023" s="200"/>
      <c r="C1023" s="200"/>
      <c r="D1023" s="201"/>
      <c r="E1023" s="200"/>
      <c r="F1023" s="200"/>
      <c r="G1023" s="200"/>
      <c r="H1023" s="200"/>
    </row>
    <row r="1024">
      <c r="A1024" s="200"/>
      <c r="B1024" s="200"/>
      <c r="C1024" s="200"/>
      <c r="D1024" s="201"/>
      <c r="E1024" s="200"/>
      <c r="F1024" s="200"/>
      <c r="G1024" s="200"/>
      <c r="H1024" s="200"/>
    </row>
    <row r="1025">
      <c r="A1025" s="200"/>
      <c r="B1025" s="200"/>
      <c r="C1025" s="200"/>
      <c r="D1025" s="201"/>
      <c r="E1025" s="200"/>
      <c r="F1025" s="200"/>
      <c r="G1025" s="200"/>
      <c r="H1025" s="200"/>
    </row>
    <row r="1026">
      <c r="A1026" s="200"/>
      <c r="B1026" s="200"/>
      <c r="C1026" s="200"/>
      <c r="D1026" s="201"/>
      <c r="E1026" s="200"/>
      <c r="F1026" s="200"/>
      <c r="G1026" s="200"/>
      <c r="H1026" s="200"/>
    </row>
    <row r="1027">
      <c r="A1027" s="200"/>
      <c r="B1027" s="200"/>
      <c r="C1027" s="200"/>
      <c r="D1027" s="201"/>
      <c r="E1027" s="200"/>
      <c r="F1027" s="200"/>
      <c r="G1027" s="200"/>
      <c r="H1027" s="200"/>
    </row>
    <row r="1028">
      <c r="A1028" s="200"/>
      <c r="B1028" s="200"/>
      <c r="C1028" s="200"/>
      <c r="D1028" s="201"/>
      <c r="E1028" s="200"/>
      <c r="F1028" s="200"/>
      <c r="G1028" s="200"/>
      <c r="H1028" s="200"/>
    </row>
    <row r="1029">
      <c r="A1029" s="200"/>
      <c r="B1029" s="200"/>
      <c r="C1029" s="200"/>
      <c r="D1029" s="201"/>
      <c r="E1029" s="200"/>
      <c r="F1029" s="200"/>
      <c r="G1029" s="200"/>
      <c r="H1029" s="200"/>
    </row>
    <row r="1030">
      <c r="A1030" s="200"/>
      <c r="B1030" s="200"/>
      <c r="C1030" s="200"/>
      <c r="D1030" s="201"/>
      <c r="E1030" s="200"/>
      <c r="F1030" s="200"/>
      <c r="G1030" s="200"/>
      <c r="H1030" s="200"/>
    </row>
    <row r="1031">
      <c r="A1031" s="200"/>
      <c r="B1031" s="200"/>
      <c r="C1031" s="200"/>
      <c r="D1031" s="201"/>
      <c r="E1031" s="200"/>
      <c r="F1031" s="200"/>
      <c r="G1031" s="200"/>
      <c r="H1031" s="200"/>
    </row>
    <row r="1032">
      <c r="A1032" s="200"/>
      <c r="B1032" s="200"/>
      <c r="C1032" s="200"/>
      <c r="D1032" s="201"/>
      <c r="E1032" s="200"/>
      <c r="F1032" s="200"/>
      <c r="G1032" s="200"/>
      <c r="H1032" s="200"/>
    </row>
    <row r="1033">
      <c r="A1033" s="200"/>
      <c r="B1033" s="200"/>
      <c r="C1033" s="200"/>
      <c r="D1033" s="201"/>
      <c r="E1033" s="200"/>
      <c r="F1033" s="200"/>
      <c r="G1033" s="200"/>
      <c r="H1033" s="200"/>
    </row>
    <row r="1034">
      <c r="A1034" s="200"/>
      <c r="B1034" s="200"/>
      <c r="C1034" s="200"/>
      <c r="D1034" s="201"/>
      <c r="E1034" s="200"/>
      <c r="F1034" s="200"/>
      <c r="G1034" s="200"/>
      <c r="H1034" s="200"/>
    </row>
    <row r="1035">
      <c r="A1035" s="200"/>
      <c r="B1035" s="200"/>
      <c r="C1035" s="200"/>
      <c r="D1035" s="201"/>
      <c r="E1035" s="200"/>
      <c r="F1035" s="200"/>
      <c r="G1035" s="200"/>
      <c r="H1035" s="200"/>
    </row>
    <row r="1036">
      <c r="A1036" s="200"/>
      <c r="B1036" s="200"/>
      <c r="C1036" s="200"/>
      <c r="D1036" s="201"/>
      <c r="E1036" s="200"/>
      <c r="F1036" s="200"/>
      <c r="G1036" s="200"/>
      <c r="H1036" s="200"/>
    </row>
    <row r="1037">
      <c r="A1037" s="200"/>
      <c r="B1037" s="200"/>
      <c r="C1037" s="200"/>
      <c r="D1037" s="201"/>
      <c r="E1037" s="200"/>
      <c r="F1037" s="200"/>
      <c r="G1037" s="200"/>
      <c r="H1037" s="200"/>
    </row>
    <row r="1038">
      <c r="A1038" s="200"/>
      <c r="B1038" s="200"/>
      <c r="C1038" s="200"/>
      <c r="D1038" s="201"/>
      <c r="E1038" s="200"/>
      <c r="F1038" s="200"/>
      <c r="G1038" s="200"/>
      <c r="H1038" s="200"/>
    </row>
    <row r="1039">
      <c r="A1039" s="200"/>
      <c r="B1039" s="200"/>
      <c r="C1039" s="200"/>
      <c r="D1039" s="201"/>
      <c r="E1039" s="200"/>
      <c r="F1039" s="200"/>
      <c r="G1039" s="200"/>
      <c r="H1039" s="200"/>
    </row>
    <row r="1040">
      <c r="A1040" s="200"/>
      <c r="B1040" s="200"/>
      <c r="C1040" s="200"/>
      <c r="D1040" s="201"/>
      <c r="E1040" s="200"/>
      <c r="F1040" s="200"/>
      <c r="G1040" s="200"/>
      <c r="H1040" s="200"/>
    </row>
    <row r="1041">
      <c r="A1041" s="200"/>
      <c r="B1041" s="200"/>
      <c r="C1041" s="200"/>
      <c r="D1041" s="201"/>
      <c r="E1041" s="200"/>
      <c r="F1041" s="200"/>
      <c r="G1041" s="200"/>
      <c r="H1041" s="200"/>
    </row>
    <row r="1042">
      <c r="A1042" s="200"/>
      <c r="B1042" s="200"/>
      <c r="C1042" s="200"/>
      <c r="D1042" s="201"/>
      <c r="E1042" s="200"/>
      <c r="F1042" s="200"/>
      <c r="G1042" s="200"/>
      <c r="H1042" s="200"/>
    </row>
    <row r="1043">
      <c r="A1043" s="200"/>
      <c r="B1043" s="200"/>
      <c r="C1043" s="200"/>
      <c r="D1043" s="201"/>
      <c r="E1043" s="200"/>
      <c r="F1043" s="200"/>
      <c r="G1043" s="200"/>
      <c r="H1043" s="200"/>
    </row>
    <row r="1044">
      <c r="A1044" s="200"/>
      <c r="B1044" s="200"/>
      <c r="C1044" s="200"/>
      <c r="D1044" s="201"/>
      <c r="E1044" s="200"/>
      <c r="F1044" s="200"/>
      <c r="G1044" s="200"/>
      <c r="H1044" s="200"/>
    </row>
    <row r="1045">
      <c r="A1045" s="200"/>
      <c r="B1045" s="200"/>
      <c r="C1045" s="200"/>
      <c r="D1045" s="201"/>
      <c r="E1045" s="200"/>
      <c r="F1045" s="200"/>
      <c r="G1045" s="200"/>
      <c r="H1045" s="200"/>
    </row>
    <row r="1046">
      <c r="A1046" s="200"/>
      <c r="B1046" s="200"/>
      <c r="C1046" s="200"/>
      <c r="D1046" s="201"/>
      <c r="E1046" s="200"/>
      <c r="F1046" s="200"/>
      <c r="G1046" s="200"/>
      <c r="H1046" s="200"/>
    </row>
    <row r="1047">
      <c r="A1047" s="200"/>
      <c r="B1047" s="200"/>
      <c r="C1047" s="200"/>
      <c r="D1047" s="201"/>
      <c r="E1047" s="200"/>
      <c r="F1047" s="200"/>
      <c r="G1047" s="200"/>
      <c r="H1047" s="200"/>
    </row>
    <row r="1048">
      <c r="A1048" s="200"/>
      <c r="B1048" s="200"/>
      <c r="C1048" s="200"/>
      <c r="D1048" s="201"/>
      <c r="E1048" s="200"/>
      <c r="F1048" s="200"/>
      <c r="G1048" s="200"/>
      <c r="H1048" s="200"/>
    </row>
    <row r="1049">
      <c r="A1049" s="200"/>
      <c r="B1049" s="200"/>
      <c r="C1049" s="200"/>
      <c r="D1049" s="201"/>
      <c r="E1049" s="200"/>
      <c r="F1049" s="200"/>
      <c r="G1049" s="200"/>
      <c r="H1049" s="200"/>
    </row>
    <row r="1050">
      <c r="A1050" s="200"/>
      <c r="B1050" s="200"/>
      <c r="C1050" s="200"/>
      <c r="D1050" s="201"/>
      <c r="E1050" s="200"/>
      <c r="F1050" s="200"/>
      <c r="G1050" s="200"/>
      <c r="H1050" s="200"/>
    </row>
    <row r="1051">
      <c r="A1051" s="200"/>
      <c r="B1051" s="200"/>
      <c r="C1051" s="200"/>
      <c r="D1051" s="201"/>
      <c r="E1051" s="200"/>
      <c r="F1051" s="200"/>
      <c r="G1051" s="200"/>
      <c r="H1051" s="200"/>
    </row>
    <row r="1052">
      <c r="A1052" s="200"/>
      <c r="B1052" s="200"/>
      <c r="C1052" s="200"/>
      <c r="D1052" s="201"/>
      <c r="E1052" s="200"/>
      <c r="F1052" s="200"/>
      <c r="G1052" s="200"/>
      <c r="H1052" s="200"/>
    </row>
    <row r="1053">
      <c r="A1053" s="200"/>
      <c r="B1053" s="200"/>
      <c r="C1053" s="200"/>
      <c r="D1053" s="201"/>
      <c r="E1053" s="200"/>
      <c r="F1053" s="200"/>
      <c r="G1053" s="200"/>
      <c r="H1053" s="200"/>
    </row>
    <row r="1054">
      <c r="A1054" s="200"/>
      <c r="B1054" s="200"/>
      <c r="C1054" s="200"/>
      <c r="D1054" s="201"/>
      <c r="E1054" s="200"/>
      <c r="F1054" s="200"/>
      <c r="G1054" s="200"/>
      <c r="H1054" s="200"/>
    </row>
    <row r="1055">
      <c r="A1055" s="200"/>
      <c r="B1055" s="200"/>
      <c r="C1055" s="200"/>
      <c r="D1055" s="201"/>
      <c r="E1055" s="200"/>
      <c r="F1055" s="200"/>
      <c r="G1055" s="200"/>
      <c r="H1055" s="200"/>
    </row>
    <row r="1056">
      <c r="A1056" s="200"/>
      <c r="B1056" s="200"/>
      <c r="C1056" s="200"/>
      <c r="D1056" s="201"/>
      <c r="E1056" s="200"/>
      <c r="F1056" s="200"/>
      <c r="G1056" s="200"/>
      <c r="H1056" s="200"/>
    </row>
    <row r="1057">
      <c r="A1057" s="200"/>
      <c r="B1057" s="200"/>
      <c r="C1057" s="200"/>
      <c r="D1057" s="201"/>
      <c r="E1057" s="200"/>
      <c r="F1057" s="200"/>
      <c r="G1057" s="200"/>
      <c r="H1057" s="200"/>
    </row>
    <row r="1058">
      <c r="A1058" s="200"/>
      <c r="B1058" s="200"/>
      <c r="C1058" s="200"/>
      <c r="D1058" s="201"/>
      <c r="E1058" s="200"/>
      <c r="F1058" s="200"/>
      <c r="G1058" s="200"/>
      <c r="H1058" s="200"/>
    </row>
    <row r="1059">
      <c r="A1059" s="200"/>
      <c r="B1059" s="200"/>
      <c r="C1059" s="200"/>
      <c r="D1059" s="201"/>
      <c r="E1059" s="200"/>
      <c r="F1059" s="200"/>
      <c r="G1059" s="200"/>
      <c r="H1059" s="200"/>
    </row>
    <row r="1060">
      <c r="A1060" s="200"/>
      <c r="B1060" s="200"/>
      <c r="C1060" s="200"/>
      <c r="D1060" s="201"/>
      <c r="E1060" s="200"/>
      <c r="F1060" s="200"/>
      <c r="G1060" s="200"/>
      <c r="H1060" s="200"/>
    </row>
    <row r="1061">
      <c r="A1061" s="200"/>
      <c r="B1061" s="200"/>
      <c r="C1061" s="200"/>
      <c r="D1061" s="201"/>
      <c r="E1061" s="200"/>
      <c r="F1061" s="200"/>
      <c r="G1061" s="200"/>
      <c r="H1061" s="200"/>
    </row>
    <row r="1062">
      <c r="A1062" s="200"/>
      <c r="B1062" s="200"/>
      <c r="C1062" s="200"/>
      <c r="D1062" s="201"/>
      <c r="E1062" s="200"/>
      <c r="F1062" s="200"/>
      <c r="G1062" s="200"/>
      <c r="H1062" s="200"/>
    </row>
    <row r="1063">
      <c r="A1063" s="200"/>
      <c r="B1063" s="200"/>
      <c r="C1063" s="200"/>
      <c r="D1063" s="201"/>
      <c r="E1063" s="200"/>
      <c r="F1063" s="200"/>
      <c r="G1063" s="200"/>
      <c r="H1063" s="200"/>
    </row>
    <row r="1064">
      <c r="A1064" s="200"/>
      <c r="B1064" s="200"/>
      <c r="C1064" s="200"/>
      <c r="D1064" s="201"/>
      <c r="E1064" s="200"/>
      <c r="F1064" s="200"/>
      <c r="G1064" s="200"/>
      <c r="H1064" s="200"/>
    </row>
    <row r="1065">
      <c r="A1065" s="200"/>
      <c r="B1065" s="200"/>
      <c r="C1065" s="200"/>
      <c r="D1065" s="201"/>
      <c r="E1065" s="200"/>
      <c r="F1065" s="200"/>
      <c r="G1065" s="200"/>
      <c r="H1065" s="200"/>
    </row>
    <row r="1066">
      <c r="A1066" s="200"/>
      <c r="B1066" s="200"/>
      <c r="C1066" s="200"/>
      <c r="D1066" s="201"/>
      <c r="E1066" s="200"/>
      <c r="F1066" s="200"/>
      <c r="G1066" s="200"/>
      <c r="H1066" s="200"/>
    </row>
    <row r="1067">
      <c r="A1067" s="200"/>
      <c r="B1067" s="200"/>
      <c r="C1067" s="200"/>
      <c r="D1067" s="201"/>
      <c r="E1067" s="200"/>
      <c r="F1067" s="200"/>
      <c r="G1067" s="200"/>
      <c r="H1067" s="200"/>
    </row>
    <row r="1068">
      <c r="A1068" s="200"/>
      <c r="B1068" s="200"/>
      <c r="C1068" s="200"/>
      <c r="D1068" s="201"/>
      <c r="E1068" s="200"/>
      <c r="F1068" s="200"/>
      <c r="G1068" s="200"/>
      <c r="H1068" s="200"/>
    </row>
    <row r="1069">
      <c r="A1069" s="200"/>
      <c r="B1069" s="200"/>
      <c r="C1069" s="200"/>
      <c r="D1069" s="201"/>
      <c r="E1069" s="200"/>
      <c r="F1069" s="200"/>
      <c r="G1069" s="200"/>
      <c r="H1069" s="200"/>
    </row>
    <row r="1070">
      <c r="A1070" s="200"/>
      <c r="B1070" s="200"/>
      <c r="C1070" s="200"/>
      <c r="D1070" s="201"/>
      <c r="E1070" s="200"/>
      <c r="F1070" s="200"/>
      <c r="G1070" s="200"/>
      <c r="H1070" s="200"/>
    </row>
    <row r="1071">
      <c r="A1071" s="200"/>
      <c r="B1071" s="200"/>
      <c r="C1071" s="200"/>
      <c r="D1071" s="201"/>
      <c r="E1071" s="200"/>
      <c r="F1071" s="200"/>
      <c r="G1071" s="200"/>
      <c r="H1071" s="200"/>
    </row>
    <row r="1072">
      <c r="A1072" s="200"/>
      <c r="B1072" s="200"/>
      <c r="C1072" s="200"/>
      <c r="D1072" s="201"/>
      <c r="E1072" s="200"/>
      <c r="F1072" s="200"/>
      <c r="G1072" s="200"/>
      <c r="H1072" s="200"/>
    </row>
    <row r="1073">
      <c r="A1073" s="200"/>
      <c r="B1073" s="200"/>
      <c r="C1073" s="200"/>
      <c r="D1073" s="201"/>
      <c r="E1073" s="200"/>
      <c r="F1073" s="200"/>
      <c r="G1073" s="200"/>
      <c r="H1073" s="200"/>
    </row>
    <row r="1074">
      <c r="A1074" s="200"/>
      <c r="B1074" s="200"/>
      <c r="C1074" s="200"/>
      <c r="D1074" s="201"/>
      <c r="E1074" s="200"/>
      <c r="F1074" s="200"/>
      <c r="G1074" s="200"/>
      <c r="H1074" s="200"/>
    </row>
    <row r="1075">
      <c r="A1075" s="200"/>
      <c r="B1075" s="200"/>
      <c r="C1075" s="200"/>
      <c r="D1075" s="201"/>
      <c r="E1075" s="200"/>
      <c r="F1075" s="200"/>
      <c r="G1075" s="200"/>
      <c r="H1075" s="200"/>
    </row>
    <row r="1076">
      <c r="A1076" s="200"/>
      <c r="B1076" s="200"/>
      <c r="C1076" s="200"/>
      <c r="D1076" s="201"/>
      <c r="E1076" s="200"/>
      <c r="F1076" s="200"/>
      <c r="G1076" s="200"/>
      <c r="H1076" s="200"/>
    </row>
    <row r="1077">
      <c r="A1077" s="200"/>
      <c r="B1077" s="200"/>
      <c r="C1077" s="200"/>
      <c r="D1077" s="201"/>
      <c r="E1077" s="200"/>
      <c r="F1077" s="200"/>
      <c r="G1077" s="200"/>
      <c r="H1077" s="200"/>
    </row>
    <row r="1078">
      <c r="A1078" s="200"/>
      <c r="B1078" s="200"/>
      <c r="C1078" s="200"/>
      <c r="D1078" s="201"/>
      <c r="E1078" s="200"/>
      <c r="F1078" s="200"/>
      <c r="G1078" s="200"/>
      <c r="H1078" s="200"/>
    </row>
    <row r="1079">
      <c r="A1079" s="200"/>
      <c r="B1079" s="200"/>
      <c r="C1079" s="200"/>
      <c r="D1079" s="201"/>
      <c r="E1079" s="200"/>
      <c r="F1079" s="200"/>
      <c r="G1079" s="200"/>
      <c r="H1079" s="200"/>
    </row>
    <row r="1080">
      <c r="A1080" s="200"/>
      <c r="B1080" s="200"/>
      <c r="C1080" s="200"/>
      <c r="D1080" s="201"/>
      <c r="E1080" s="200"/>
      <c r="F1080" s="200"/>
      <c r="G1080" s="200"/>
      <c r="H1080" s="200"/>
    </row>
    <row r="1081">
      <c r="A1081" s="200"/>
      <c r="B1081" s="200"/>
      <c r="C1081" s="200"/>
      <c r="D1081" s="201"/>
      <c r="E1081" s="200"/>
      <c r="F1081" s="200"/>
      <c r="G1081" s="200"/>
      <c r="H1081" s="200"/>
    </row>
    <row r="1082">
      <c r="A1082" s="200"/>
      <c r="B1082" s="200"/>
      <c r="C1082" s="200"/>
      <c r="D1082" s="201"/>
      <c r="E1082" s="200"/>
      <c r="F1082" s="200"/>
      <c r="G1082" s="200"/>
      <c r="H1082" s="200"/>
    </row>
    <row r="1083">
      <c r="A1083" s="200"/>
      <c r="B1083" s="200"/>
      <c r="C1083" s="200"/>
      <c r="D1083" s="201"/>
      <c r="E1083" s="200"/>
      <c r="F1083" s="200"/>
      <c r="G1083" s="200"/>
      <c r="H1083" s="200"/>
    </row>
    <row r="1084">
      <c r="A1084" s="200"/>
      <c r="B1084" s="200"/>
      <c r="C1084" s="200"/>
      <c r="D1084" s="201"/>
      <c r="E1084" s="200"/>
      <c r="F1084" s="200"/>
      <c r="G1084" s="200"/>
      <c r="H1084" s="200"/>
    </row>
    <row r="1085">
      <c r="A1085" s="200"/>
      <c r="B1085" s="200"/>
      <c r="C1085" s="200"/>
      <c r="D1085" s="201"/>
      <c r="E1085" s="200"/>
      <c r="F1085" s="200"/>
      <c r="G1085" s="200"/>
      <c r="H1085" s="200"/>
    </row>
    <row r="1086">
      <c r="A1086" s="200"/>
      <c r="B1086" s="200"/>
      <c r="C1086" s="200"/>
      <c r="D1086" s="201"/>
      <c r="E1086" s="200"/>
      <c r="F1086" s="200"/>
      <c r="G1086" s="200"/>
      <c r="H1086" s="200"/>
    </row>
    <row r="1087">
      <c r="A1087" s="200"/>
      <c r="B1087" s="200"/>
      <c r="C1087" s="200"/>
      <c r="D1087" s="201"/>
      <c r="E1087" s="200"/>
      <c r="F1087" s="200"/>
      <c r="G1087" s="200"/>
      <c r="H1087" s="200"/>
    </row>
    <row r="1088">
      <c r="A1088" s="200"/>
      <c r="B1088" s="200"/>
      <c r="C1088" s="200"/>
      <c r="D1088" s="201"/>
      <c r="E1088" s="200"/>
      <c r="F1088" s="200"/>
      <c r="G1088" s="200"/>
      <c r="H1088" s="200"/>
    </row>
    <row r="1089">
      <c r="A1089" s="200"/>
      <c r="B1089" s="200"/>
      <c r="C1089" s="200"/>
      <c r="D1089" s="201"/>
      <c r="E1089" s="200"/>
      <c r="F1089" s="200"/>
      <c r="G1089" s="200"/>
      <c r="H1089" s="200"/>
    </row>
    <row r="1090">
      <c r="A1090" s="200"/>
      <c r="B1090" s="200"/>
      <c r="C1090" s="200"/>
      <c r="D1090" s="201"/>
      <c r="E1090" s="200"/>
      <c r="F1090" s="200"/>
      <c r="G1090" s="200"/>
      <c r="H1090" s="200"/>
    </row>
    <row r="1091">
      <c r="A1091" s="200"/>
      <c r="B1091" s="200"/>
      <c r="C1091" s="200"/>
      <c r="D1091" s="201"/>
      <c r="E1091" s="200"/>
      <c r="F1091" s="200"/>
      <c r="G1091" s="200"/>
      <c r="H1091" s="200"/>
    </row>
    <row r="1092">
      <c r="A1092" s="200"/>
      <c r="B1092" s="200"/>
      <c r="C1092" s="200"/>
      <c r="D1092" s="201"/>
      <c r="E1092" s="200"/>
      <c r="F1092" s="200"/>
      <c r="G1092" s="200"/>
      <c r="H1092" s="200"/>
    </row>
    <row r="1093">
      <c r="A1093" s="200"/>
      <c r="B1093" s="200"/>
      <c r="C1093" s="200"/>
      <c r="D1093" s="201"/>
      <c r="E1093" s="200"/>
      <c r="F1093" s="200"/>
      <c r="G1093" s="200"/>
      <c r="H1093" s="200"/>
    </row>
    <row r="1094">
      <c r="A1094" s="200"/>
      <c r="B1094" s="200"/>
      <c r="C1094" s="200"/>
      <c r="D1094" s="201"/>
      <c r="E1094" s="200"/>
      <c r="F1094" s="200"/>
      <c r="G1094" s="200"/>
      <c r="H1094" s="200"/>
    </row>
    <row r="1095">
      <c r="A1095" s="200"/>
      <c r="B1095" s="200"/>
      <c r="C1095" s="200"/>
      <c r="D1095" s="201"/>
      <c r="E1095" s="200"/>
      <c r="F1095" s="200"/>
      <c r="G1095" s="200"/>
      <c r="H1095" s="200"/>
    </row>
    <row r="1096">
      <c r="A1096" s="200"/>
      <c r="B1096" s="200"/>
      <c r="C1096" s="200"/>
      <c r="D1096" s="201"/>
      <c r="E1096" s="200"/>
      <c r="F1096" s="200"/>
      <c r="G1096" s="200"/>
      <c r="H1096" s="200"/>
    </row>
    <row r="1097">
      <c r="A1097" s="200"/>
      <c r="B1097" s="200"/>
      <c r="C1097" s="200"/>
      <c r="D1097" s="201"/>
      <c r="E1097" s="200"/>
      <c r="F1097" s="200"/>
      <c r="G1097" s="200"/>
      <c r="H1097" s="200"/>
    </row>
    <row r="1098">
      <c r="A1098" s="200"/>
      <c r="B1098" s="200"/>
      <c r="C1098" s="200"/>
      <c r="D1098" s="201"/>
      <c r="E1098" s="200"/>
      <c r="F1098" s="200"/>
      <c r="G1098" s="200"/>
      <c r="H1098" s="200"/>
    </row>
    <row r="1099">
      <c r="A1099" s="200"/>
      <c r="B1099" s="200"/>
      <c r="C1099" s="200"/>
      <c r="D1099" s="201"/>
      <c r="E1099" s="200"/>
      <c r="F1099" s="200"/>
      <c r="G1099" s="200"/>
      <c r="H1099" s="200"/>
    </row>
    <row r="1100">
      <c r="A1100" s="200"/>
      <c r="B1100" s="200"/>
      <c r="C1100" s="200"/>
      <c r="D1100" s="201"/>
      <c r="E1100" s="200"/>
      <c r="F1100" s="200"/>
      <c r="G1100" s="200"/>
      <c r="H1100" s="200"/>
    </row>
    <row r="1101">
      <c r="A1101" s="200"/>
      <c r="B1101" s="200"/>
      <c r="C1101" s="200"/>
      <c r="D1101" s="201"/>
      <c r="E1101" s="200"/>
      <c r="F1101" s="200"/>
      <c r="G1101" s="200"/>
      <c r="H1101" s="200"/>
    </row>
    <row r="1102">
      <c r="A1102" s="200"/>
      <c r="B1102" s="200"/>
      <c r="C1102" s="200"/>
      <c r="D1102" s="201"/>
      <c r="E1102" s="200"/>
      <c r="F1102" s="200"/>
      <c r="G1102" s="200"/>
      <c r="H1102" s="200"/>
    </row>
    <row r="1103">
      <c r="A1103" s="200"/>
      <c r="B1103" s="200"/>
      <c r="C1103" s="200"/>
      <c r="D1103" s="201"/>
      <c r="E1103" s="200"/>
      <c r="F1103" s="200"/>
      <c r="G1103" s="200"/>
      <c r="H1103" s="200"/>
    </row>
    <row r="1104">
      <c r="A1104" s="200"/>
      <c r="B1104" s="200"/>
      <c r="C1104" s="200"/>
      <c r="D1104" s="201"/>
      <c r="E1104" s="200"/>
      <c r="F1104" s="200"/>
      <c r="G1104" s="200"/>
      <c r="H1104" s="200"/>
    </row>
    <row r="1105">
      <c r="A1105" s="200"/>
      <c r="B1105" s="200"/>
      <c r="C1105" s="200"/>
      <c r="D1105" s="201"/>
      <c r="E1105" s="200"/>
      <c r="F1105" s="200"/>
      <c r="G1105" s="200"/>
      <c r="H1105" s="200"/>
    </row>
    <row r="1106">
      <c r="A1106" s="200"/>
      <c r="B1106" s="200"/>
      <c r="C1106" s="200"/>
      <c r="D1106" s="201"/>
      <c r="E1106" s="200"/>
      <c r="F1106" s="200"/>
      <c r="G1106" s="200"/>
      <c r="H1106" s="200"/>
    </row>
    <row r="1107">
      <c r="A1107" s="200"/>
      <c r="B1107" s="200"/>
      <c r="C1107" s="200"/>
      <c r="D1107" s="201"/>
      <c r="E1107" s="200"/>
      <c r="F1107" s="200"/>
      <c r="G1107" s="200"/>
      <c r="H1107" s="200"/>
    </row>
    <row r="1108">
      <c r="A1108" s="200"/>
      <c r="B1108" s="200"/>
      <c r="C1108" s="200"/>
      <c r="D1108" s="201"/>
      <c r="E1108" s="200"/>
      <c r="F1108" s="200"/>
      <c r="G1108" s="200"/>
      <c r="H1108" s="200"/>
    </row>
    <row r="1109">
      <c r="A1109" s="200"/>
      <c r="B1109" s="200"/>
      <c r="C1109" s="200"/>
      <c r="D1109" s="201"/>
      <c r="E1109" s="200"/>
      <c r="F1109" s="200"/>
      <c r="G1109" s="200"/>
      <c r="H1109" s="200"/>
    </row>
    <row r="1110">
      <c r="A1110" s="200"/>
      <c r="B1110" s="200"/>
      <c r="C1110" s="200"/>
      <c r="D1110" s="201"/>
      <c r="E1110" s="200"/>
      <c r="F1110" s="200"/>
      <c r="G1110" s="200"/>
      <c r="H1110" s="200"/>
    </row>
    <row r="1111">
      <c r="A1111" s="200"/>
      <c r="B1111" s="200"/>
      <c r="C1111" s="200"/>
      <c r="D1111" s="201"/>
      <c r="E1111" s="200"/>
      <c r="F1111" s="200"/>
      <c r="G1111" s="200"/>
      <c r="H1111" s="200"/>
    </row>
    <row r="1112">
      <c r="A1112" s="200"/>
      <c r="B1112" s="200"/>
      <c r="C1112" s="200"/>
      <c r="D1112" s="201"/>
      <c r="E1112" s="200"/>
      <c r="F1112" s="200"/>
      <c r="G1112" s="200"/>
      <c r="H1112" s="200"/>
    </row>
    <row r="1113">
      <c r="A1113" s="200"/>
      <c r="B1113" s="200"/>
      <c r="C1113" s="200"/>
      <c r="D1113" s="201"/>
      <c r="E1113" s="200"/>
      <c r="F1113" s="200"/>
      <c r="G1113" s="200"/>
      <c r="H1113" s="200"/>
    </row>
    <row r="1114">
      <c r="A1114" s="200"/>
      <c r="B1114" s="200"/>
      <c r="C1114" s="200"/>
      <c r="D1114" s="201"/>
      <c r="E1114" s="200"/>
      <c r="F1114" s="200"/>
      <c r="G1114" s="200"/>
      <c r="H1114" s="200"/>
    </row>
    <row r="1115">
      <c r="A1115" s="200"/>
      <c r="B1115" s="200"/>
      <c r="C1115" s="200"/>
      <c r="D1115" s="201"/>
      <c r="E1115" s="200"/>
      <c r="F1115" s="200"/>
      <c r="G1115" s="200"/>
      <c r="H1115" s="200"/>
    </row>
    <row r="1116">
      <c r="A1116" s="200"/>
      <c r="B1116" s="200"/>
      <c r="C1116" s="200"/>
      <c r="D1116" s="201"/>
      <c r="E1116" s="200"/>
      <c r="F1116" s="200"/>
      <c r="G1116" s="200"/>
      <c r="H1116" s="200"/>
    </row>
    <row r="1117">
      <c r="A1117" s="200"/>
      <c r="B1117" s="200"/>
      <c r="C1117" s="200"/>
      <c r="D1117" s="201"/>
      <c r="E1117" s="200"/>
      <c r="F1117" s="200"/>
      <c r="G1117" s="200"/>
      <c r="H1117" s="200"/>
    </row>
    <row r="1118">
      <c r="A1118" s="200"/>
      <c r="B1118" s="200"/>
      <c r="C1118" s="200"/>
      <c r="D1118" s="201"/>
      <c r="E1118" s="200"/>
      <c r="F1118" s="200"/>
      <c r="G1118" s="200"/>
      <c r="H1118" s="200"/>
    </row>
    <row r="1119">
      <c r="A1119" s="200"/>
      <c r="B1119" s="200"/>
      <c r="C1119" s="200"/>
      <c r="D1119" s="201"/>
      <c r="E1119" s="200"/>
      <c r="F1119" s="200"/>
      <c r="G1119" s="200"/>
      <c r="H1119" s="200"/>
    </row>
    <row r="1120">
      <c r="A1120" s="200"/>
      <c r="B1120" s="200"/>
      <c r="C1120" s="200"/>
      <c r="D1120" s="201"/>
      <c r="E1120" s="200"/>
      <c r="F1120" s="200"/>
      <c r="G1120" s="200"/>
      <c r="H1120" s="200"/>
    </row>
    <row r="1121">
      <c r="A1121" s="200"/>
      <c r="B1121" s="200"/>
      <c r="C1121" s="200"/>
      <c r="D1121" s="201"/>
      <c r="E1121" s="200"/>
      <c r="F1121" s="200"/>
      <c r="G1121" s="200"/>
      <c r="H1121" s="200"/>
    </row>
    <row r="1122">
      <c r="A1122" s="200"/>
      <c r="B1122" s="200"/>
      <c r="C1122" s="200"/>
      <c r="D1122" s="201"/>
      <c r="E1122" s="200"/>
      <c r="F1122" s="200"/>
      <c r="G1122" s="200"/>
      <c r="H1122" s="200"/>
    </row>
    <row r="1123">
      <c r="A1123" s="200"/>
      <c r="B1123" s="200"/>
      <c r="C1123" s="200"/>
      <c r="D1123" s="201"/>
      <c r="E1123" s="200"/>
      <c r="F1123" s="200"/>
      <c r="G1123" s="200"/>
      <c r="H1123" s="200"/>
    </row>
    <row r="1124">
      <c r="A1124" s="200"/>
      <c r="B1124" s="200"/>
      <c r="C1124" s="200"/>
      <c r="D1124" s="201"/>
      <c r="E1124" s="200"/>
      <c r="F1124" s="200"/>
      <c r="G1124" s="200"/>
      <c r="H1124" s="200"/>
    </row>
    <row r="1125">
      <c r="A1125" s="200"/>
      <c r="B1125" s="200"/>
      <c r="C1125" s="200"/>
      <c r="D1125" s="201"/>
      <c r="E1125" s="200"/>
      <c r="F1125" s="200"/>
      <c r="G1125" s="200"/>
      <c r="H1125" s="200"/>
    </row>
    <row r="1126">
      <c r="A1126" s="200"/>
      <c r="B1126" s="200"/>
      <c r="C1126" s="200"/>
      <c r="D1126" s="201"/>
      <c r="E1126" s="200"/>
      <c r="F1126" s="200"/>
      <c r="G1126" s="200"/>
      <c r="H1126" s="200"/>
    </row>
    <row r="1127">
      <c r="A1127" s="200"/>
      <c r="B1127" s="200"/>
      <c r="C1127" s="200"/>
      <c r="D1127" s="201"/>
      <c r="E1127" s="200"/>
      <c r="F1127" s="200"/>
      <c r="G1127" s="200"/>
      <c r="H1127" s="200"/>
    </row>
    <row r="1128">
      <c r="A1128" s="200"/>
      <c r="B1128" s="200"/>
      <c r="C1128" s="200"/>
      <c r="D1128" s="201"/>
      <c r="E1128" s="200"/>
      <c r="F1128" s="200"/>
      <c r="G1128" s="200"/>
      <c r="H1128" s="200"/>
    </row>
    <row r="1129">
      <c r="A1129" s="200"/>
      <c r="B1129" s="200"/>
      <c r="C1129" s="200"/>
      <c r="D1129" s="201"/>
      <c r="E1129" s="200"/>
      <c r="F1129" s="200"/>
      <c r="G1129" s="200"/>
      <c r="H1129" s="200"/>
    </row>
    <row r="1130">
      <c r="A1130" s="200"/>
      <c r="B1130" s="200"/>
      <c r="C1130" s="200"/>
      <c r="D1130" s="201"/>
      <c r="E1130" s="200"/>
      <c r="F1130" s="200"/>
      <c r="G1130" s="200"/>
      <c r="H1130" s="200"/>
    </row>
    <row r="1131">
      <c r="A1131" s="200"/>
      <c r="B1131" s="200"/>
      <c r="C1131" s="200"/>
      <c r="D1131" s="201"/>
      <c r="E1131" s="200"/>
      <c r="F1131" s="200"/>
      <c r="G1131" s="200"/>
      <c r="H1131" s="200"/>
    </row>
    <row r="1132">
      <c r="A1132" s="200"/>
      <c r="B1132" s="200"/>
      <c r="C1132" s="200"/>
      <c r="D1132" s="201"/>
      <c r="E1132" s="200"/>
      <c r="F1132" s="200"/>
      <c r="G1132" s="200"/>
      <c r="H1132" s="200"/>
    </row>
    <row r="1133">
      <c r="A1133" s="200"/>
      <c r="B1133" s="200"/>
      <c r="C1133" s="200"/>
      <c r="D1133" s="201"/>
      <c r="E1133" s="200"/>
      <c r="F1133" s="200"/>
      <c r="G1133" s="200"/>
      <c r="H1133" s="200"/>
    </row>
    <row r="1134">
      <c r="A1134" s="200"/>
      <c r="B1134" s="200"/>
      <c r="C1134" s="200"/>
      <c r="D1134" s="201"/>
      <c r="E1134" s="200"/>
      <c r="F1134" s="200"/>
      <c r="G1134" s="200"/>
      <c r="H1134" s="200"/>
    </row>
    <row r="1135">
      <c r="A1135" s="200"/>
      <c r="B1135" s="200"/>
      <c r="C1135" s="200"/>
      <c r="D1135" s="201"/>
      <c r="E1135" s="200"/>
      <c r="F1135" s="200"/>
      <c r="G1135" s="200"/>
      <c r="H1135" s="200"/>
    </row>
    <row r="1136">
      <c r="A1136" s="200"/>
      <c r="B1136" s="200"/>
      <c r="C1136" s="200"/>
      <c r="D1136" s="201"/>
      <c r="E1136" s="200"/>
      <c r="F1136" s="200"/>
      <c r="G1136" s="200"/>
      <c r="H1136" s="200"/>
    </row>
    <row r="1137">
      <c r="A1137" s="200"/>
      <c r="B1137" s="200"/>
      <c r="C1137" s="200"/>
      <c r="D1137" s="201"/>
      <c r="E1137" s="200"/>
      <c r="F1137" s="200"/>
      <c r="G1137" s="200"/>
      <c r="H1137" s="200"/>
    </row>
    <row r="1138">
      <c r="A1138" s="200"/>
      <c r="B1138" s="200"/>
      <c r="C1138" s="200"/>
      <c r="D1138" s="201"/>
      <c r="E1138" s="200"/>
      <c r="F1138" s="200"/>
      <c r="G1138" s="200"/>
      <c r="H1138" s="200"/>
    </row>
    <row r="1139">
      <c r="A1139" s="200"/>
      <c r="B1139" s="200"/>
      <c r="C1139" s="200"/>
      <c r="D1139" s="201"/>
      <c r="E1139" s="200"/>
      <c r="F1139" s="200"/>
      <c r="G1139" s="200"/>
      <c r="H1139" s="200"/>
    </row>
    <row r="1140">
      <c r="A1140" s="200"/>
      <c r="B1140" s="200"/>
      <c r="C1140" s="200"/>
      <c r="D1140" s="201"/>
      <c r="E1140" s="200"/>
      <c r="F1140" s="200"/>
      <c r="G1140" s="200"/>
      <c r="H1140" s="200"/>
    </row>
    <row r="1141">
      <c r="A1141" s="200"/>
      <c r="B1141" s="200"/>
      <c r="C1141" s="200"/>
      <c r="D1141" s="201"/>
      <c r="E1141" s="200"/>
      <c r="F1141" s="200"/>
      <c r="G1141" s="200"/>
      <c r="H1141" s="200"/>
    </row>
    <row r="1142">
      <c r="A1142" s="200"/>
      <c r="B1142" s="200"/>
      <c r="C1142" s="200"/>
      <c r="D1142" s="201"/>
      <c r="E1142" s="200"/>
      <c r="F1142" s="200"/>
      <c r="G1142" s="200"/>
      <c r="H1142" s="200"/>
    </row>
    <row r="1143">
      <c r="A1143" s="200"/>
      <c r="B1143" s="200"/>
      <c r="C1143" s="200"/>
      <c r="D1143" s="201"/>
      <c r="E1143" s="200"/>
      <c r="F1143" s="200"/>
      <c r="G1143" s="200"/>
      <c r="H1143" s="200"/>
    </row>
    <row r="1144">
      <c r="A1144" s="200"/>
      <c r="B1144" s="200"/>
      <c r="C1144" s="200"/>
      <c r="D1144" s="201"/>
      <c r="E1144" s="200"/>
      <c r="F1144" s="200"/>
      <c r="G1144" s="200"/>
      <c r="H1144" s="200"/>
    </row>
    <row r="1145">
      <c r="A1145" s="200"/>
      <c r="B1145" s="200"/>
      <c r="C1145" s="200"/>
      <c r="D1145" s="201"/>
      <c r="E1145" s="200"/>
      <c r="F1145" s="200"/>
      <c r="G1145" s="200"/>
      <c r="H1145" s="200"/>
    </row>
    <row r="1146">
      <c r="A1146" s="200"/>
      <c r="B1146" s="200"/>
      <c r="C1146" s="200"/>
      <c r="D1146" s="201"/>
      <c r="E1146" s="200"/>
      <c r="F1146" s="200"/>
      <c r="G1146" s="200"/>
      <c r="H1146" s="200"/>
    </row>
    <row r="1147">
      <c r="A1147" s="200"/>
      <c r="B1147" s="200"/>
      <c r="C1147" s="200"/>
      <c r="D1147" s="201"/>
      <c r="E1147" s="200"/>
      <c r="F1147" s="200"/>
      <c r="G1147" s="200"/>
      <c r="H1147" s="200"/>
    </row>
    <row r="1148">
      <c r="A1148" s="200"/>
      <c r="B1148" s="200"/>
      <c r="C1148" s="200"/>
      <c r="D1148" s="201"/>
      <c r="E1148" s="200"/>
      <c r="F1148" s="200"/>
      <c r="G1148" s="200"/>
      <c r="H1148" s="200"/>
    </row>
    <row r="1149">
      <c r="A1149" s="200"/>
      <c r="B1149" s="200"/>
      <c r="C1149" s="200"/>
      <c r="D1149" s="201"/>
      <c r="E1149" s="200"/>
      <c r="F1149" s="200"/>
      <c r="G1149" s="200"/>
      <c r="H1149" s="200"/>
    </row>
    <row r="1150">
      <c r="A1150" s="200"/>
      <c r="B1150" s="200"/>
      <c r="C1150" s="200"/>
      <c r="D1150" s="201"/>
      <c r="E1150" s="200"/>
      <c r="F1150" s="200"/>
      <c r="G1150" s="200"/>
      <c r="H1150" s="200"/>
    </row>
    <row r="1151">
      <c r="A1151" s="200"/>
      <c r="B1151" s="200"/>
      <c r="C1151" s="200"/>
      <c r="D1151" s="201"/>
      <c r="E1151" s="200"/>
      <c r="F1151" s="200"/>
      <c r="G1151" s="200"/>
      <c r="H1151" s="200"/>
    </row>
    <row r="1152">
      <c r="A1152" s="200"/>
      <c r="B1152" s="200"/>
      <c r="C1152" s="200"/>
      <c r="D1152" s="201"/>
      <c r="E1152" s="200"/>
      <c r="F1152" s="200"/>
      <c r="G1152" s="200"/>
      <c r="H1152" s="200"/>
    </row>
    <row r="1153">
      <c r="A1153" s="200"/>
      <c r="B1153" s="200"/>
      <c r="C1153" s="200"/>
      <c r="D1153" s="201"/>
      <c r="E1153" s="200"/>
      <c r="F1153" s="200"/>
      <c r="G1153" s="200"/>
      <c r="H1153" s="200"/>
    </row>
    <row r="1154">
      <c r="A1154" s="200"/>
      <c r="B1154" s="200"/>
      <c r="C1154" s="200"/>
      <c r="D1154" s="201"/>
      <c r="E1154" s="200"/>
      <c r="F1154" s="200"/>
      <c r="G1154" s="200"/>
      <c r="H1154" s="200"/>
    </row>
    <row r="1155">
      <c r="A1155" s="200"/>
      <c r="B1155" s="200"/>
      <c r="C1155" s="200"/>
      <c r="D1155" s="201"/>
      <c r="E1155" s="200"/>
      <c r="F1155" s="200"/>
      <c r="G1155" s="200"/>
      <c r="H1155" s="200"/>
    </row>
    <row r="1156">
      <c r="A1156" s="200"/>
      <c r="B1156" s="200"/>
      <c r="C1156" s="200"/>
      <c r="D1156" s="201"/>
      <c r="E1156" s="200"/>
      <c r="F1156" s="200"/>
      <c r="G1156" s="200"/>
      <c r="H1156" s="200"/>
    </row>
    <row r="1157">
      <c r="A1157" s="200"/>
      <c r="B1157" s="200"/>
      <c r="C1157" s="200"/>
      <c r="D1157" s="201"/>
      <c r="E1157" s="200"/>
      <c r="F1157" s="200"/>
      <c r="G1157" s="200"/>
      <c r="H1157" s="200"/>
    </row>
    <row r="1158">
      <c r="A1158" s="200"/>
      <c r="B1158" s="200"/>
      <c r="C1158" s="200"/>
      <c r="D1158" s="201"/>
      <c r="E1158" s="200"/>
      <c r="F1158" s="200"/>
      <c r="G1158" s="200"/>
      <c r="H1158" s="200"/>
    </row>
    <row r="1159">
      <c r="A1159" s="200"/>
      <c r="B1159" s="200"/>
      <c r="C1159" s="200"/>
      <c r="D1159" s="201"/>
      <c r="E1159" s="200"/>
      <c r="F1159" s="200"/>
      <c r="G1159" s="200"/>
      <c r="H1159" s="200"/>
    </row>
    <row r="1160">
      <c r="A1160" s="200"/>
      <c r="B1160" s="200"/>
      <c r="C1160" s="200"/>
      <c r="D1160" s="201"/>
      <c r="E1160" s="200"/>
      <c r="F1160" s="200"/>
      <c r="G1160" s="200"/>
      <c r="H1160" s="200"/>
    </row>
    <row r="1161">
      <c r="A1161" s="200"/>
      <c r="B1161" s="200"/>
      <c r="C1161" s="200"/>
      <c r="D1161" s="201"/>
      <c r="E1161" s="200"/>
      <c r="F1161" s="200"/>
      <c r="G1161" s="200"/>
      <c r="H1161" s="200"/>
    </row>
    <row r="1162">
      <c r="A1162" s="200"/>
      <c r="B1162" s="200"/>
      <c r="C1162" s="200"/>
      <c r="D1162" s="201"/>
      <c r="E1162" s="200"/>
      <c r="F1162" s="200"/>
      <c r="G1162" s="200"/>
      <c r="H1162" s="200"/>
    </row>
    <row r="1163">
      <c r="A1163" s="200"/>
      <c r="B1163" s="200"/>
      <c r="C1163" s="200"/>
      <c r="D1163" s="201"/>
      <c r="E1163" s="200"/>
      <c r="F1163" s="200"/>
      <c r="G1163" s="200"/>
      <c r="H1163" s="200"/>
    </row>
    <row r="1164">
      <c r="A1164" s="200"/>
      <c r="B1164" s="200"/>
      <c r="C1164" s="200"/>
      <c r="D1164" s="201"/>
      <c r="E1164" s="200"/>
      <c r="F1164" s="200"/>
      <c r="G1164" s="200"/>
      <c r="H1164" s="200"/>
    </row>
    <row r="1165">
      <c r="A1165" s="200"/>
      <c r="B1165" s="200"/>
      <c r="C1165" s="200"/>
      <c r="D1165" s="201"/>
      <c r="E1165" s="200"/>
      <c r="F1165" s="200"/>
      <c r="G1165" s="200"/>
      <c r="H1165" s="200"/>
    </row>
    <row r="1166">
      <c r="A1166" s="200"/>
      <c r="B1166" s="200"/>
      <c r="C1166" s="200"/>
      <c r="D1166" s="201"/>
      <c r="E1166" s="200"/>
      <c r="F1166" s="200"/>
      <c r="G1166" s="200"/>
      <c r="H1166" s="200"/>
    </row>
    <row r="1167">
      <c r="A1167" s="200"/>
      <c r="B1167" s="200"/>
      <c r="C1167" s="200"/>
      <c r="D1167" s="201"/>
      <c r="E1167" s="200"/>
      <c r="F1167" s="200"/>
      <c r="G1167" s="200"/>
      <c r="H1167" s="200"/>
    </row>
    <row r="1168">
      <c r="A1168" s="200"/>
      <c r="B1168" s="200"/>
      <c r="C1168" s="200"/>
      <c r="D1168" s="201"/>
      <c r="E1168" s="200"/>
      <c r="F1168" s="200"/>
      <c r="G1168" s="200"/>
      <c r="H1168" s="200"/>
    </row>
    <row r="1169">
      <c r="A1169" s="200"/>
      <c r="B1169" s="200"/>
      <c r="C1169" s="200"/>
      <c r="D1169" s="201"/>
      <c r="E1169" s="200"/>
      <c r="F1169" s="200"/>
      <c r="G1169" s="200"/>
      <c r="H1169" s="200"/>
    </row>
    <row r="1170">
      <c r="A1170" s="200"/>
      <c r="B1170" s="200"/>
      <c r="C1170" s="200"/>
      <c r="D1170" s="201"/>
      <c r="E1170" s="200"/>
      <c r="F1170" s="200"/>
      <c r="G1170" s="200"/>
      <c r="H1170" s="200"/>
    </row>
    <row r="1171">
      <c r="A1171" s="200"/>
      <c r="B1171" s="200"/>
      <c r="C1171" s="200"/>
      <c r="D1171" s="201"/>
      <c r="E1171" s="200"/>
      <c r="F1171" s="200"/>
      <c r="G1171" s="200"/>
      <c r="H1171" s="200"/>
    </row>
    <row r="1172">
      <c r="A1172" s="200"/>
      <c r="B1172" s="200"/>
      <c r="C1172" s="200"/>
      <c r="D1172" s="201"/>
      <c r="E1172" s="200"/>
      <c r="F1172" s="200"/>
      <c r="G1172" s="200"/>
      <c r="H1172" s="200"/>
    </row>
    <row r="1173">
      <c r="A1173" s="200"/>
      <c r="B1173" s="200"/>
      <c r="C1173" s="200"/>
      <c r="D1173" s="201"/>
      <c r="E1173" s="200"/>
      <c r="F1173" s="200"/>
      <c r="G1173" s="200"/>
      <c r="H1173" s="200"/>
    </row>
    <row r="1174">
      <c r="A1174" s="200"/>
      <c r="B1174" s="200"/>
      <c r="C1174" s="200"/>
      <c r="D1174" s="201"/>
      <c r="E1174" s="200"/>
      <c r="F1174" s="200"/>
      <c r="G1174" s="200"/>
      <c r="H1174" s="200"/>
    </row>
    <row r="1175">
      <c r="A1175" s="200"/>
      <c r="B1175" s="200"/>
      <c r="C1175" s="200"/>
      <c r="D1175" s="201"/>
      <c r="E1175" s="200"/>
      <c r="F1175" s="200"/>
      <c r="G1175" s="200"/>
      <c r="H1175" s="200"/>
    </row>
    <row r="1176">
      <c r="A1176" s="200"/>
      <c r="B1176" s="200"/>
      <c r="C1176" s="200"/>
      <c r="D1176" s="201"/>
      <c r="E1176" s="200"/>
      <c r="F1176" s="200"/>
      <c r="G1176" s="200"/>
      <c r="H1176" s="200"/>
    </row>
    <row r="1177">
      <c r="A1177" s="200"/>
      <c r="B1177" s="200"/>
      <c r="C1177" s="200"/>
      <c r="D1177" s="201"/>
      <c r="E1177" s="200"/>
      <c r="F1177" s="200"/>
      <c r="G1177" s="200"/>
      <c r="H1177" s="200"/>
    </row>
    <row r="1178">
      <c r="A1178" s="200"/>
      <c r="B1178" s="200"/>
      <c r="C1178" s="200"/>
      <c r="D1178" s="201"/>
      <c r="E1178" s="200"/>
      <c r="F1178" s="200"/>
      <c r="G1178" s="200"/>
      <c r="H1178" s="200"/>
    </row>
    <row r="1179">
      <c r="A1179" s="200"/>
      <c r="B1179" s="200"/>
      <c r="C1179" s="200"/>
      <c r="D1179" s="201"/>
      <c r="E1179" s="200"/>
      <c r="F1179" s="200"/>
      <c r="G1179" s="200"/>
      <c r="H1179" s="200"/>
    </row>
  </sheetData>
  <dataValidations>
    <dataValidation allowBlank="1" showDropDown="1" sqref="E2:E259"/>
  </dataValidations>
  <hyperlinks>
    <hyperlink r:id="rId1" ref="B232"/>
    <hyperlink r:id="rId2" ref="B23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30.13"/>
    <col customWidth="1" min="3" max="3" width="36.38"/>
    <col customWidth="1" min="4" max="4" width="14.63"/>
    <col customWidth="1" min="5" max="5" width="24.25"/>
    <col customWidth="1" min="6" max="6" width="17.88"/>
    <col customWidth="1" min="7" max="7" width="22.5"/>
    <col customWidth="1" min="8" max="8" width="20.25"/>
  </cols>
  <sheetData>
    <row r="1" ht="22.5" customHeight="1">
      <c r="A1" s="20" t="s">
        <v>7</v>
      </c>
      <c r="B1" s="23" t="s">
        <v>9</v>
      </c>
      <c r="C1" s="20" t="s">
        <v>12</v>
      </c>
      <c r="D1" s="20" t="s">
        <v>11</v>
      </c>
      <c r="E1" s="23" t="s">
        <v>14</v>
      </c>
      <c r="F1" s="20" t="s">
        <v>16</v>
      </c>
      <c r="G1" s="20" t="s">
        <v>17</v>
      </c>
      <c r="H1" s="35" t="s">
        <v>20</v>
      </c>
      <c r="I1" s="35" t="s">
        <v>21</v>
      </c>
      <c r="J1" s="35" t="s">
        <v>22</v>
      </c>
      <c r="K1" s="35" t="s">
        <v>23</v>
      </c>
    </row>
    <row r="2" ht="22.5" customHeight="1">
      <c r="A2" s="37">
        <v>1.0</v>
      </c>
      <c r="B2" s="37" t="s">
        <v>24</v>
      </c>
      <c r="C2" s="37" t="s">
        <v>26</v>
      </c>
      <c r="D2" s="40">
        <v>45749.0</v>
      </c>
      <c r="E2" s="43">
        <v>30000.0</v>
      </c>
      <c r="F2" s="37">
        <v>0.0</v>
      </c>
      <c r="G2" s="43">
        <v>30000.0</v>
      </c>
      <c r="H2" s="49"/>
      <c r="I2" s="51"/>
      <c r="J2" s="49"/>
      <c r="K2" s="49"/>
    </row>
    <row r="3" ht="22.5" customHeight="1">
      <c r="A3" s="55">
        <v>2.0</v>
      </c>
      <c r="B3" s="55" t="s">
        <v>30</v>
      </c>
      <c r="C3" s="55" t="s">
        <v>31</v>
      </c>
      <c r="D3" s="40">
        <v>45749.0</v>
      </c>
      <c r="E3" s="61">
        <v>6500.0</v>
      </c>
      <c r="F3" s="55">
        <v>0.0</v>
      </c>
      <c r="G3" s="61">
        <v>6500.0</v>
      </c>
      <c r="H3" s="49"/>
      <c r="I3" s="51"/>
      <c r="J3" s="49"/>
      <c r="K3" s="49"/>
    </row>
    <row r="4" ht="22.5" customHeight="1">
      <c r="A4" s="37">
        <v>3.0</v>
      </c>
      <c r="B4" s="55" t="s">
        <v>36</v>
      </c>
      <c r="C4" s="55" t="s">
        <v>37</v>
      </c>
      <c r="D4" s="40">
        <v>45749.0</v>
      </c>
      <c r="E4" s="61">
        <v>2500.0</v>
      </c>
      <c r="F4" s="55">
        <v>0.0</v>
      </c>
      <c r="G4" s="61">
        <v>2500.0</v>
      </c>
      <c r="H4" s="49"/>
      <c r="I4" s="51"/>
      <c r="J4" s="49"/>
      <c r="K4" s="49"/>
    </row>
    <row r="5" ht="22.5" customHeight="1">
      <c r="A5" s="55">
        <v>4.0</v>
      </c>
      <c r="B5" s="55" t="s">
        <v>41</v>
      </c>
      <c r="C5" s="55" t="s">
        <v>42</v>
      </c>
      <c r="D5" s="40">
        <v>45749.0</v>
      </c>
      <c r="E5" s="61">
        <v>4615.0</v>
      </c>
      <c r="F5" s="55">
        <v>0.0</v>
      </c>
      <c r="G5" s="61">
        <v>4615.0</v>
      </c>
      <c r="H5" s="49"/>
      <c r="I5" s="51"/>
      <c r="J5" s="49"/>
      <c r="K5" s="49"/>
    </row>
    <row r="6" ht="22.5" customHeight="1">
      <c r="A6" s="37">
        <v>5.0</v>
      </c>
      <c r="B6" s="55" t="s">
        <v>48</v>
      </c>
      <c r="C6" s="55"/>
      <c r="D6" s="78">
        <v>45751.0</v>
      </c>
      <c r="E6" s="61">
        <v>40000.0</v>
      </c>
      <c r="F6" s="55">
        <v>0.0</v>
      </c>
      <c r="G6" s="61">
        <f>E6+F6</f>
        <v>40000</v>
      </c>
      <c r="H6" s="51"/>
      <c r="I6" s="51"/>
      <c r="J6" s="49"/>
      <c r="K6" s="49"/>
    </row>
    <row r="7" ht="22.5" customHeight="1">
      <c r="A7" s="55">
        <v>6.0</v>
      </c>
      <c r="B7" s="55" t="s">
        <v>60</v>
      </c>
      <c r="C7" s="55" t="s">
        <v>62</v>
      </c>
      <c r="D7" s="78">
        <v>45751.0</v>
      </c>
      <c r="E7" s="61">
        <v>25000.0</v>
      </c>
      <c r="F7" s="55">
        <v>0.0</v>
      </c>
      <c r="G7" s="61">
        <v>25000.0</v>
      </c>
      <c r="H7" s="49"/>
      <c r="I7" s="51"/>
      <c r="J7" s="49"/>
      <c r="K7" s="49"/>
    </row>
    <row r="8" ht="22.5" customHeight="1">
      <c r="A8" s="37">
        <v>7.0</v>
      </c>
      <c r="B8" s="55" t="s">
        <v>72</v>
      </c>
      <c r="C8" s="55" t="s">
        <v>73</v>
      </c>
      <c r="D8" s="78">
        <v>45752.0</v>
      </c>
      <c r="E8" s="61">
        <v>23500.0</v>
      </c>
      <c r="F8" s="55">
        <v>0.0</v>
      </c>
      <c r="G8" s="61">
        <v>23500.0</v>
      </c>
      <c r="H8" s="94"/>
      <c r="I8" s="51"/>
      <c r="J8" s="49"/>
      <c r="K8" s="49"/>
    </row>
    <row r="9" ht="22.5" customHeight="1">
      <c r="A9" s="37"/>
      <c r="B9" s="55" t="s">
        <v>78</v>
      </c>
      <c r="C9" s="55"/>
      <c r="D9" s="78">
        <v>45753.0</v>
      </c>
      <c r="E9" s="61">
        <v>40000.0</v>
      </c>
      <c r="F9" s="55"/>
      <c r="G9" s="61">
        <f>E9+F9</f>
        <v>40000</v>
      </c>
      <c r="H9" s="94"/>
      <c r="I9" s="51"/>
      <c r="J9" s="49"/>
      <c r="K9" s="49"/>
    </row>
    <row r="10" ht="22.5" customHeight="1">
      <c r="A10" s="55">
        <v>8.0</v>
      </c>
      <c r="B10" s="55" t="s">
        <v>81</v>
      </c>
      <c r="C10" s="55" t="s">
        <v>83</v>
      </c>
      <c r="D10" s="78">
        <v>45754.0</v>
      </c>
      <c r="E10" s="61">
        <v>10000.0</v>
      </c>
      <c r="F10" s="55">
        <v>0.0</v>
      </c>
      <c r="G10" s="61">
        <v>10000.0</v>
      </c>
      <c r="H10" s="94"/>
      <c r="I10" s="51"/>
      <c r="J10" s="49"/>
      <c r="K10" s="49"/>
    </row>
    <row r="11" ht="22.5" customHeight="1">
      <c r="A11" s="37">
        <v>9.0</v>
      </c>
      <c r="B11" s="55" t="s">
        <v>72</v>
      </c>
      <c r="C11" s="55" t="s">
        <v>86</v>
      </c>
      <c r="D11" s="78">
        <v>45754.0</v>
      </c>
      <c r="E11" s="61">
        <v>30000.0</v>
      </c>
      <c r="F11" s="55">
        <v>0.0</v>
      </c>
      <c r="G11" s="61">
        <v>30000.0</v>
      </c>
      <c r="H11" s="94"/>
      <c r="I11" s="51"/>
      <c r="J11" s="49"/>
      <c r="K11" s="49"/>
    </row>
    <row r="12" ht="22.5" customHeight="1">
      <c r="A12" s="55">
        <v>10.0</v>
      </c>
      <c r="B12" s="55" t="s">
        <v>88</v>
      </c>
      <c r="C12" s="55" t="s">
        <v>89</v>
      </c>
      <c r="D12" s="78">
        <v>45754.0</v>
      </c>
      <c r="E12" s="61">
        <v>12000.0</v>
      </c>
      <c r="F12" s="55">
        <v>0.0</v>
      </c>
      <c r="G12" s="61">
        <v>12000.0</v>
      </c>
      <c r="H12" s="94"/>
      <c r="I12" s="51"/>
      <c r="J12" s="49"/>
      <c r="K12" s="49"/>
    </row>
    <row r="13" ht="22.5" customHeight="1">
      <c r="A13" s="37">
        <v>11.0</v>
      </c>
      <c r="B13" s="55" t="s">
        <v>91</v>
      </c>
      <c r="C13" s="55" t="s">
        <v>92</v>
      </c>
      <c r="D13" s="78">
        <v>45754.0</v>
      </c>
      <c r="E13" s="61">
        <v>3629.0</v>
      </c>
      <c r="F13" s="55">
        <v>0.0</v>
      </c>
      <c r="G13" s="61">
        <v>3629.0</v>
      </c>
      <c r="H13" s="94"/>
      <c r="I13" s="51"/>
      <c r="J13" s="49"/>
      <c r="K13" s="49"/>
    </row>
    <row r="14" ht="22.5" customHeight="1">
      <c r="A14" s="55">
        <v>12.0</v>
      </c>
      <c r="B14" s="55" t="s">
        <v>97</v>
      </c>
      <c r="C14" s="55" t="s">
        <v>98</v>
      </c>
      <c r="D14" s="78">
        <v>45754.0</v>
      </c>
      <c r="E14" s="61">
        <v>10000.0</v>
      </c>
      <c r="F14" s="55">
        <v>0.0</v>
      </c>
      <c r="G14" s="61">
        <v>10000.0</v>
      </c>
      <c r="H14" s="94"/>
      <c r="I14" s="51"/>
      <c r="J14" s="49"/>
      <c r="K14" s="49"/>
    </row>
    <row r="15" ht="22.5" customHeight="1">
      <c r="A15" s="37">
        <v>13.0</v>
      </c>
      <c r="B15" s="55" t="s">
        <v>97</v>
      </c>
      <c r="C15" s="55" t="s">
        <v>101</v>
      </c>
      <c r="D15" s="78">
        <v>45754.0</v>
      </c>
      <c r="E15" s="61">
        <v>5320.0</v>
      </c>
      <c r="F15" s="55">
        <v>0.0</v>
      </c>
      <c r="G15" s="61">
        <v>5320.0</v>
      </c>
      <c r="H15" s="94"/>
      <c r="I15" s="51"/>
      <c r="J15" s="49"/>
      <c r="K15" s="49"/>
    </row>
    <row r="16" ht="22.5" customHeight="1">
      <c r="A16" s="55">
        <v>14.0</v>
      </c>
      <c r="B16" s="55" t="s">
        <v>106</v>
      </c>
      <c r="C16" s="55" t="s">
        <v>107</v>
      </c>
      <c r="D16" s="78">
        <v>45754.0</v>
      </c>
      <c r="E16" s="61">
        <v>20000.0</v>
      </c>
      <c r="F16" s="55">
        <v>0.0</v>
      </c>
      <c r="G16" s="61">
        <v>20000.0</v>
      </c>
      <c r="H16" s="94"/>
      <c r="I16" s="51"/>
      <c r="J16" s="49"/>
      <c r="K16" s="49"/>
    </row>
    <row r="17" ht="22.5" customHeight="1">
      <c r="A17" s="37">
        <v>15.0</v>
      </c>
      <c r="B17" s="55" t="s">
        <v>109</v>
      </c>
      <c r="C17" s="55"/>
      <c r="D17" s="78">
        <v>45754.0</v>
      </c>
      <c r="E17" s="61">
        <v>18458.0</v>
      </c>
      <c r="F17" s="55"/>
      <c r="G17" s="61">
        <v>18458.0</v>
      </c>
      <c r="H17" s="94"/>
      <c r="I17" s="51"/>
      <c r="J17" s="94"/>
      <c r="K17" s="94"/>
    </row>
    <row r="18" ht="22.5" customHeight="1">
      <c r="A18" s="55">
        <v>16.0</v>
      </c>
      <c r="B18" s="55" t="s">
        <v>118</v>
      </c>
      <c r="C18" s="55" t="s">
        <v>121</v>
      </c>
      <c r="D18" s="78">
        <v>45755.0</v>
      </c>
      <c r="E18" s="61">
        <v>447.0</v>
      </c>
      <c r="F18" s="55">
        <v>0.0</v>
      </c>
      <c r="G18" s="61">
        <v>447.0</v>
      </c>
      <c r="H18" s="94"/>
      <c r="I18" s="51"/>
      <c r="J18" s="94"/>
      <c r="K18" s="94"/>
    </row>
    <row r="19" ht="22.5" customHeight="1">
      <c r="A19" s="37">
        <v>17.0</v>
      </c>
      <c r="B19" s="55" t="s">
        <v>97</v>
      </c>
      <c r="C19" s="55" t="s">
        <v>126</v>
      </c>
      <c r="D19" s="78">
        <v>45755.0</v>
      </c>
      <c r="E19" s="61">
        <v>36400.0</v>
      </c>
      <c r="F19" s="55">
        <v>0.0</v>
      </c>
      <c r="G19" s="61">
        <v>36400.0</v>
      </c>
      <c r="H19" s="51" t="s">
        <v>131</v>
      </c>
      <c r="I19" s="51"/>
      <c r="J19" s="49"/>
      <c r="K19" s="49"/>
    </row>
    <row r="20" ht="22.5" customHeight="1">
      <c r="A20" s="55">
        <v>18.0</v>
      </c>
      <c r="B20" s="55" t="s">
        <v>72</v>
      </c>
      <c r="C20" s="55" t="s">
        <v>135</v>
      </c>
      <c r="D20" s="78">
        <v>45755.0</v>
      </c>
      <c r="E20" s="61">
        <v>20000.0</v>
      </c>
      <c r="F20" s="55">
        <v>0.0</v>
      </c>
      <c r="G20" s="61">
        <v>20000.0</v>
      </c>
      <c r="H20" s="94"/>
      <c r="I20" s="51"/>
      <c r="J20" s="49"/>
      <c r="K20" s="49"/>
    </row>
    <row r="21" ht="22.5" customHeight="1">
      <c r="A21" s="37">
        <v>19.0</v>
      </c>
      <c r="B21" s="55" t="s">
        <v>142</v>
      </c>
      <c r="C21" s="55" t="s">
        <v>143</v>
      </c>
      <c r="D21" s="78">
        <v>45755.0</v>
      </c>
      <c r="E21" s="61">
        <v>20000.0</v>
      </c>
      <c r="F21" s="55">
        <v>0.0</v>
      </c>
      <c r="G21" s="61">
        <v>20000.0</v>
      </c>
      <c r="H21" s="94"/>
      <c r="I21" s="51"/>
      <c r="J21" s="49"/>
      <c r="K21" s="49"/>
    </row>
    <row r="22" ht="22.5" customHeight="1">
      <c r="A22" s="55">
        <v>20.0</v>
      </c>
      <c r="B22" s="55" t="s">
        <v>81</v>
      </c>
      <c r="C22" s="55" t="s">
        <v>152</v>
      </c>
      <c r="D22" s="78">
        <v>45756.0</v>
      </c>
      <c r="E22" s="61">
        <v>30000.0</v>
      </c>
      <c r="F22" s="55">
        <v>0.0</v>
      </c>
      <c r="G22" s="61">
        <v>30000.0</v>
      </c>
      <c r="H22" s="94"/>
      <c r="I22" s="51"/>
      <c r="J22" s="49"/>
      <c r="K22" s="49"/>
    </row>
    <row r="23" ht="22.5" customHeight="1">
      <c r="A23" s="37">
        <v>21.0</v>
      </c>
      <c r="B23" s="55" t="s">
        <v>161</v>
      </c>
      <c r="C23" s="55" t="s">
        <v>162</v>
      </c>
      <c r="D23" s="78">
        <v>45756.0</v>
      </c>
      <c r="E23" s="61">
        <v>15000.0</v>
      </c>
      <c r="F23" s="55">
        <v>0.0</v>
      </c>
      <c r="G23" s="61">
        <v>15000.0</v>
      </c>
      <c r="H23" s="94"/>
      <c r="I23" s="51"/>
      <c r="J23" s="49"/>
      <c r="K23" s="49"/>
    </row>
    <row r="24" ht="22.5" customHeight="1">
      <c r="A24" s="55">
        <v>22.0</v>
      </c>
      <c r="B24" s="55" t="s">
        <v>170</v>
      </c>
      <c r="C24" s="55" t="s">
        <v>171</v>
      </c>
      <c r="D24" s="78">
        <v>45756.0</v>
      </c>
      <c r="E24" s="61">
        <v>4500.0</v>
      </c>
      <c r="F24" s="55">
        <v>0.0</v>
      </c>
      <c r="G24" s="61">
        <v>4500.0</v>
      </c>
      <c r="H24" s="94"/>
      <c r="I24" s="51"/>
      <c r="J24" s="49"/>
      <c r="K24" s="49"/>
    </row>
    <row r="25" ht="22.5" customHeight="1">
      <c r="A25" s="37">
        <v>23.0</v>
      </c>
      <c r="B25" s="55" t="s">
        <v>173</v>
      </c>
      <c r="C25" s="55" t="s">
        <v>176</v>
      </c>
      <c r="D25" s="78">
        <v>45756.0</v>
      </c>
      <c r="E25" s="61">
        <v>27213.0</v>
      </c>
      <c r="F25" s="55">
        <v>0.0</v>
      </c>
      <c r="G25" s="61">
        <v>27213.0</v>
      </c>
      <c r="H25" s="94"/>
      <c r="I25" s="51"/>
      <c r="J25" s="49"/>
      <c r="K25" s="49"/>
    </row>
    <row r="26" ht="22.5" customHeight="1">
      <c r="A26" s="55">
        <v>24.0</v>
      </c>
      <c r="B26" s="55" t="s">
        <v>181</v>
      </c>
      <c r="C26" s="55" t="s">
        <v>182</v>
      </c>
      <c r="D26" s="78">
        <v>45756.0</v>
      </c>
      <c r="E26" s="61">
        <v>20000.0</v>
      </c>
      <c r="F26" s="55">
        <v>0.0</v>
      </c>
      <c r="G26" s="61">
        <v>20000.0</v>
      </c>
      <c r="H26" s="94"/>
      <c r="I26" s="51"/>
      <c r="J26" s="49"/>
      <c r="K26" s="49"/>
    </row>
    <row r="27" ht="22.5" customHeight="1">
      <c r="A27" s="37">
        <v>25.0</v>
      </c>
      <c r="B27" s="55" t="s">
        <v>188</v>
      </c>
      <c r="C27" s="55" t="s">
        <v>189</v>
      </c>
      <c r="D27" s="78">
        <v>45756.0</v>
      </c>
      <c r="E27" s="61">
        <v>28000.0</v>
      </c>
      <c r="F27" s="55">
        <v>0.0</v>
      </c>
      <c r="G27" s="61">
        <v>28000.0</v>
      </c>
      <c r="H27" s="94"/>
      <c r="I27" s="51"/>
      <c r="J27" s="49"/>
      <c r="K27" s="49"/>
    </row>
    <row r="28" ht="22.5" customHeight="1">
      <c r="A28" s="55">
        <v>26.0</v>
      </c>
      <c r="B28" s="55" t="s">
        <v>97</v>
      </c>
      <c r="C28" s="55" t="s">
        <v>190</v>
      </c>
      <c r="D28" s="78">
        <v>45757.0</v>
      </c>
      <c r="E28" s="61">
        <v>35400.0</v>
      </c>
      <c r="F28" s="55">
        <v>0.0</v>
      </c>
      <c r="G28" s="61">
        <v>35400.0</v>
      </c>
      <c r="H28" s="51" t="s">
        <v>131</v>
      </c>
      <c r="I28" s="51"/>
      <c r="J28" s="49"/>
      <c r="K28" s="49"/>
    </row>
    <row r="29" ht="22.5" customHeight="1">
      <c r="A29" s="37">
        <v>27.0</v>
      </c>
      <c r="B29" s="55" t="s">
        <v>97</v>
      </c>
      <c r="C29" s="55" t="s">
        <v>193</v>
      </c>
      <c r="D29" s="78">
        <v>45757.0</v>
      </c>
      <c r="E29" s="61">
        <v>800.0</v>
      </c>
      <c r="F29" s="55">
        <v>0.0</v>
      </c>
      <c r="G29" s="61">
        <v>800.0</v>
      </c>
      <c r="H29" s="94"/>
      <c r="I29" s="51"/>
      <c r="J29" s="49"/>
      <c r="K29" s="49"/>
    </row>
    <row r="30" ht="22.5" customHeight="1">
      <c r="A30" s="55">
        <v>28.0</v>
      </c>
      <c r="B30" s="55" t="s">
        <v>161</v>
      </c>
      <c r="C30" s="55" t="s">
        <v>196</v>
      </c>
      <c r="D30" s="78">
        <v>45757.0</v>
      </c>
      <c r="E30" s="61">
        <v>10000.0</v>
      </c>
      <c r="F30" s="55">
        <v>0.0</v>
      </c>
      <c r="G30" s="61">
        <v>10000.0</v>
      </c>
      <c r="H30" s="94"/>
      <c r="I30" s="51"/>
      <c r="J30" s="49"/>
      <c r="K30" s="49"/>
    </row>
    <row r="31" ht="22.5" customHeight="1">
      <c r="A31" s="37">
        <v>29.0</v>
      </c>
      <c r="B31" s="55" t="s">
        <v>198</v>
      </c>
      <c r="C31" s="55" t="s">
        <v>199</v>
      </c>
      <c r="D31" s="78">
        <v>45757.0</v>
      </c>
      <c r="E31" s="61">
        <v>20000.0</v>
      </c>
      <c r="F31" s="55">
        <v>0.0</v>
      </c>
      <c r="G31" s="61">
        <v>20000.0</v>
      </c>
      <c r="H31" s="94"/>
      <c r="I31" s="51"/>
      <c r="J31" s="49"/>
      <c r="K31" s="49"/>
    </row>
    <row r="32" ht="22.5" customHeight="1">
      <c r="A32" s="55">
        <v>30.0</v>
      </c>
      <c r="B32" s="55" t="s">
        <v>202</v>
      </c>
      <c r="C32" s="55" t="s">
        <v>203</v>
      </c>
      <c r="D32" s="78">
        <v>45757.0</v>
      </c>
      <c r="E32" s="61">
        <v>20000.0</v>
      </c>
      <c r="F32" s="55">
        <v>0.0</v>
      </c>
      <c r="G32" s="61">
        <v>20000.0</v>
      </c>
      <c r="H32" s="94"/>
      <c r="I32" s="51"/>
      <c r="J32" s="49"/>
      <c r="K32" s="49"/>
    </row>
    <row r="33" ht="22.5" customHeight="1">
      <c r="A33" s="37">
        <v>31.0</v>
      </c>
      <c r="B33" s="55" t="s">
        <v>205</v>
      </c>
      <c r="C33" s="55" t="s">
        <v>206</v>
      </c>
      <c r="D33" s="78">
        <v>45758.0</v>
      </c>
      <c r="E33" s="61">
        <v>17700.0</v>
      </c>
      <c r="F33" s="55">
        <v>0.0</v>
      </c>
      <c r="G33" s="61">
        <v>17700.0</v>
      </c>
      <c r="H33" s="51" t="s">
        <v>131</v>
      </c>
      <c r="I33" s="51"/>
      <c r="J33" s="49"/>
      <c r="K33" s="49"/>
    </row>
    <row r="34" ht="22.5" customHeight="1">
      <c r="A34" s="55">
        <v>32.0</v>
      </c>
      <c r="B34" s="55" t="s">
        <v>205</v>
      </c>
      <c r="C34" s="55" t="s">
        <v>208</v>
      </c>
      <c r="D34" s="78">
        <v>45758.0</v>
      </c>
      <c r="E34" s="61">
        <v>11631.0</v>
      </c>
      <c r="F34" s="55">
        <v>0.0</v>
      </c>
      <c r="G34" s="61">
        <v>11631.0</v>
      </c>
      <c r="H34" s="94"/>
      <c r="I34" s="51"/>
      <c r="J34" s="49"/>
      <c r="K34" s="49"/>
    </row>
    <row r="35" ht="22.5" customHeight="1">
      <c r="A35" s="37">
        <v>33.0</v>
      </c>
      <c r="B35" s="55" t="s">
        <v>205</v>
      </c>
      <c r="C35" s="55" t="s">
        <v>208</v>
      </c>
      <c r="D35" s="78">
        <v>45758.0</v>
      </c>
      <c r="E35" s="61">
        <v>7109.0</v>
      </c>
      <c r="F35" s="55">
        <v>0.0</v>
      </c>
      <c r="G35" s="61">
        <v>7109.0</v>
      </c>
      <c r="H35" s="94"/>
      <c r="I35" s="51"/>
      <c r="J35" s="49"/>
      <c r="K35" s="49"/>
    </row>
    <row r="36" ht="22.5" customHeight="1">
      <c r="A36" s="55">
        <v>34.0</v>
      </c>
      <c r="B36" s="55" t="s">
        <v>212</v>
      </c>
      <c r="C36" s="55" t="s">
        <v>213</v>
      </c>
      <c r="D36" s="78">
        <v>45758.0</v>
      </c>
      <c r="E36" s="61">
        <v>5430.0</v>
      </c>
      <c r="F36" s="55">
        <v>0.0</v>
      </c>
      <c r="G36" s="61">
        <v>5430.0</v>
      </c>
      <c r="H36" s="94"/>
      <c r="I36" s="51"/>
      <c r="J36" s="49"/>
      <c r="K36" s="49"/>
    </row>
    <row r="37" ht="22.5" customHeight="1">
      <c r="A37" s="37">
        <v>35.0</v>
      </c>
      <c r="B37" s="55" t="s">
        <v>81</v>
      </c>
      <c r="C37" s="55" t="s">
        <v>215</v>
      </c>
      <c r="D37" s="78">
        <v>45758.0</v>
      </c>
      <c r="E37" s="61">
        <v>27500.0</v>
      </c>
      <c r="F37" s="55">
        <v>0.0</v>
      </c>
      <c r="G37" s="61">
        <v>27500.0</v>
      </c>
      <c r="H37" s="94"/>
      <c r="I37" s="51"/>
      <c r="J37" s="49"/>
      <c r="K37" s="49"/>
    </row>
    <row r="38" ht="22.5" customHeight="1">
      <c r="A38" s="55">
        <v>36.0</v>
      </c>
      <c r="B38" s="55" t="s">
        <v>219</v>
      </c>
      <c r="C38" s="55" t="s">
        <v>220</v>
      </c>
      <c r="D38" s="78">
        <v>45758.0</v>
      </c>
      <c r="E38" s="61">
        <v>4000.0</v>
      </c>
      <c r="F38" s="130"/>
      <c r="G38" s="61">
        <v>4000.0</v>
      </c>
      <c r="H38" s="94"/>
      <c r="I38" s="51"/>
      <c r="J38" s="49"/>
      <c r="K38" s="49"/>
    </row>
    <row r="39" ht="22.5" customHeight="1">
      <c r="A39" s="37">
        <v>37.0</v>
      </c>
      <c r="B39" s="55" t="s">
        <v>36</v>
      </c>
      <c r="C39" s="55" t="s">
        <v>223</v>
      </c>
      <c r="D39" s="78">
        <v>45758.0</v>
      </c>
      <c r="E39" s="61">
        <v>2000.0</v>
      </c>
      <c r="F39" s="55">
        <v>0.0</v>
      </c>
      <c r="G39" s="61">
        <v>2000.0</v>
      </c>
      <c r="H39" s="94"/>
      <c r="I39" s="51"/>
      <c r="J39" s="49"/>
      <c r="K39" s="49"/>
    </row>
    <row r="40" ht="22.5" customHeight="1">
      <c r="A40" s="55">
        <v>38.0</v>
      </c>
      <c r="B40" s="55" t="s">
        <v>225</v>
      </c>
      <c r="C40" s="55" t="s">
        <v>227</v>
      </c>
      <c r="D40" s="78">
        <v>45758.0</v>
      </c>
      <c r="E40" s="61">
        <v>55270.0</v>
      </c>
      <c r="F40" s="55">
        <v>0.0</v>
      </c>
      <c r="G40" s="61">
        <v>55270.0</v>
      </c>
      <c r="H40" s="94"/>
      <c r="I40" s="51"/>
      <c r="J40" s="49"/>
      <c r="K40" s="49"/>
    </row>
    <row r="41" ht="22.5" customHeight="1">
      <c r="A41" s="37">
        <v>39.0</v>
      </c>
      <c r="B41" s="55" t="s">
        <v>230</v>
      </c>
      <c r="C41" s="55" t="s">
        <v>121</v>
      </c>
      <c r="D41" s="78">
        <v>45759.0</v>
      </c>
      <c r="E41" s="61">
        <v>1796.0</v>
      </c>
      <c r="F41" s="55">
        <v>0.0</v>
      </c>
      <c r="G41" s="61">
        <v>1796.0</v>
      </c>
      <c r="H41" s="94"/>
      <c r="I41" s="51"/>
      <c r="J41" s="49"/>
      <c r="K41" s="49"/>
    </row>
    <row r="42" ht="22.5" customHeight="1">
      <c r="A42" s="55">
        <v>40.0</v>
      </c>
      <c r="B42" s="55" t="s">
        <v>72</v>
      </c>
      <c r="C42" s="55" t="s">
        <v>234</v>
      </c>
      <c r="D42" s="78">
        <v>45760.0</v>
      </c>
      <c r="E42" s="61">
        <v>23000.0</v>
      </c>
      <c r="F42" s="55">
        <v>0.0</v>
      </c>
      <c r="G42" s="61">
        <v>23000.0</v>
      </c>
      <c r="H42" s="94"/>
      <c r="I42" s="51"/>
      <c r="J42" s="49"/>
      <c r="K42" s="49"/>
    </row>
    <row r="43" ht="22.5" customHeight="1">
      <c r="A43" s="37">
        <v>41.0</v>
      </c>
      <c r="B43" s="55" t="s">
        <v>236</v>
      </c>
      <c r="C43" s="55" t="s">
        <v>237</v>
      </c>
      <c r="D43" s="78">
        <v>45761.0</v>
      </c>
      <c r="E43" s="61">
        <v>10000.0</v>
      </c>
      <c r="F43" s="55">
        <v>0.0</v>
      </c>
      <c r="G43" s="61">
        <v>10000.0</v>
      </c>
      <c r="H43" s="94"/>
      <c r="I43" s="51"/>
      <c r="J43" s="49"/>
      <c r="K43" s="49"/>
    </row>
    <row r="44" ht="22.5" customHeight="1">
      <c r="A44" s="55">
        <v>42.0</v>
      </c>
      <c r="B44" s="55" t="s">
        <v>142</v>
      </c>
      <c r="C44" s="55" t="s">
        <v>143</v>
      </c>
      <c r="D44" s="78">
        <v>45761.0</v>
      </c>
      <c r="E44" s="61">
        <v>50000.0</v>
      </c>
      <c r="F44" s="55">
        <v>0.0</v>
      </c>
      <c r="G44" s="61">
        <v>50000.0</v>
      </c>
      <c r="H44" s="94"/>
      <c r="I44" s="51"/>
      <c r="J44" s="49"/>
      <c r="K44" s="49"/>
    </row>
    <row r="45" ht="22.5" customHeight="1">
      <c r="A45" s="37">
        <v>43.0</v>
      </c>
      <c r="B45" s="55" t="s">
        <v>241</v>
      </c>
      <c r="C45" s="55" t="s">
        <v>242</v>
      </c>
      <c r="D45" s="78">
        <v>45761.0</v>
      </c>
      <c r="E45" s="61">
        <v>15000.0</v>
      </c>
      <c r="F45" s="55">
        <v>0.0</v>
      </c>
      <c r="G45" s="61">
        <v>15000.0</v>
      </c>
      <c r="H45" s="94"/>
      <c r="I45" s="51"/>
      <c r="J45" s="49"/>
      <c r="K45" s="49"/>
    </row>
    <row r="46" ht="22.5" customHeight="1">
      <c r="A46" s="55">
        <v>44.0</v>
      </c>
      <c r="B46" s="55" t="s">
        <v>246</v>
      </c>
      <c r="C46" s="55" t="s">
        <v>248</v>
      </c>
      <c r="D46" s="78">
        <v>45761.0</v>
      </c>
      <c r="E46" s="61">
        <v>30000.0</v>
      </c>
      <c r="F46" s="55">
        <v>0.0</v>
      </c>
      <c r="G46" s="61">
        <v>30000.0</v>
      </c>
      <c r="H46" s="94"/>
      <c r="I46" s="51"/>
      <c r="J46" s="49"/>
      <c r="K46" s="49"/>
    </row>
    <row r="47" ht="22.5" customHeight="1">
      <c r="A47" s="37">
        <v>45.0</v>
      </c>
      <c r="B47" s="55" t="s">
        <v>252</v>
      </c>
      <c r="C47" s="55" t="s">
        <v>92</v>
      </c>
      <c r="D47" s="78">
        <v>45761.0</v>
      </c>
      <c r="E47" s="61">
        <v>2070.0</v>
      </c>
      <c r="F47" s="55">
        <v>0.0</v>
      </c>
      <c r="G47" s="61">
        <v>2070.0</v>
      </c>
      <c r="H47" s="94"/>
      <c r="I47" s="51"/>
      <c r="J47" s="49"/>
      <c r="K47" s="49"/>
    </row>
    <row r="48" ht="22.5" customHeight="1">
      <c r="A48" s="55">
        <v>46.0</v>
      </c>
      <c r="B48" s="55" t="s">
        <v>256</v>
      </c>
      <c r="C48" s="55" t="s">
        <v>121</v>
      </c>
      <c r="D48" s="78">
        <v>45761.0</v>
      </c>
      <c r="E48" s="61">
        <v>8085.0</v>
      </c>
      <c r="F48" s="55">
        <v>0.0</v>
      </c>
      <c r="G48" s="61">
        <v>8085.0</v>
      </c>
      <c r="H48" s="94"/>
      <c r="I48" s="51"/>
      <c r="J48" s="49"/>
      <c r="K48" s="49"/>
    </row>
    <row r="49" ht="22.5" customHeight="1">
      <c r="A49" s="37">
        <v>47.0</v>
      </c>
      <c r="B49" s="55" t="s">
        <v>259</v>
      </c>
      <c r="C49" s="55" t="s">
        <v>260</v>
      </c>
      <c r="D49" s="78">
        <v>45762.0</v>
      </c>
      <c r="E49" s="61">
        <v>41300.0</v>
      </c>
      <c r="F49" s="55">
        <v>0.0</v>
      </c>
      <c r="G49" s="61">
        <v>41300.0</v>
      </c>
      <c r="H49" s="51" t="s">
        <v>261</v>
      </c>
      <c r="I49" s="51"/>
      <c r="J49" s="49"/>
      <c r="K49" s="49"/>
    </row>
    <row r="50" ht="22.5" customHeight="1">
      <c r="A50" s="55">
        <v>48.0</v>
      </c>
      <c r="B50" s="55" t="s">
        <v>142</v>
      </c>
      <c r="C50" s="55" t="s">
        <v>143</v>
      </c>
      <c r="D50" s="78">
        <v>45762.0</v>
      </c>
      <c r="E50" s="61">
        <v>20000.0</v>
      </c>
      <c r="F50" s="55">
        <v>0.0</v>
      </c>
      <c r="G50" s="61">
        <v>20000.0</v>
      </c>
      <c r="H50" s="94"/>
      <c r="I50" s="51"/>
      <c r="J50" s="49"/>
      <c r="K50" s="49"/>
    </row>
    <row r="51" ht="22.5" customHeight="1">
      <c r="A51" s="37">
        <v>49.0</v>
      </c>
      <c r="B51" s="55" t="s">
        <v>72</v>
      </c>
      <c r="C51" s="55" t="s">
        <v>264</v>
      </c>
      <c r="D51" s="78">
        <v>45762.0</v>
      </c>
      <c r="E51" s="61">
        <v>20000.0</v>
      </c>
      <c r="F51" s="55">
        <v>0.0</v>
      </c>
      <c r="G51" s="61">
        <v>20000.0</v>
      </c>
      <c r="H51" s="94"/>
      <c r="I51" s="51"/>
      <c r="J51" s="49"/>
      <c r="K51" s="49"/>
    </row>
    <row r="52" ht="22.5" customHeight="1">
      <c r="A52" s="55">
        <v>50.0</v>
      </c>
      <c r="B52" s="55" t="s">
        <v>266</v>
      </c>
      <c r="C52" s="55" t="s">
        <v>267</v>
      </c>
      <c r="D52" s="78">
        <v>45762.0</v>
      </c>
      <c r="E52" s="61">
        <v>6605.0</v>
      </c>
      <c r="F52" s="55">
        <v>0.0</v>
      </c>
      <c r="G52" s="61">
        <v>6605.0</v>
      </c>
      <c r="H52" s="94"/>
      <c r="I52" s="51"/>
      <c r="J52" s="49"/>
      <c r="K52" s="49"/>
    </row>
    <row r="53" ht="22.5" customHeight="1">
      <c r="A53" s="37">
        <v>51.0</v>
      </c>
      <c r="B53" s="55" t="s">
        <v>72</v>
      </c>
      <c r="C53" s="55" t="s">
        <v>270</v>
      </c>
      <c r="D53" s="78">
        <v>45762.0</v>
      </c>
      <c r="E53" s="61">
        <v>15000.0</v>
      </c>
      <c r="F53" s="55">
        <v>0.0</v>
      </c>
      <c r="G53" s="61">
        <v>15000.0</v>
      </c>
      <c r="H53" s="94"/>
      <c r="I53" s="51"/>
      <c r="J53" s="49"/>
      <c r="K53" s="49"/>
    </row>
    <row r="54" ht="22.5" customHeight="1">
      <c r="A54" s="55">
        <v>52.0</v>
      </c>
      <c r="B54" s="55" t="s">
        <v>272</v>
      </c>
      <c r="C54" s="55" t="s">
        <v>121</v>
      </c>
      <c r="D54" s="78">
        <v>45765.0</v>
      </c>
      <c r="E54" s="61">
        <v>2938.0</v>
      </c>
      <c r="F54" s="55">
        <v>0.0</v>
      </c>
      <c r="G54" s="61">
        <v>2938.0</v>
      </c>
      <c r="H54" s="94"/>
      <c r="I54" s="51"/>
      <c r="J54" s="49"/>
      <c r="K54" s="49"/>
    </row>
    <row r="55" ht="22.5" customHeight="1">
      <c r="A55" s="37">
        <v>53.0</v>
      </c>
      <c r="B55" s="55" t="s">
        <v>275</v>
      </c>
      <c r="C55" s="55" t="s">
        <v>121</v>
      </c>
      <c r="D55" s="78">
        <v>45765.0</v>
      </c>
      <c r="E55" s="61">
        <v>2582.0</v>
      </c>
      <c r="F55" s="55">
        <v>0.0</v>
      </c>
      <c r="G55" s="61">
        <v>2582.0</v>
      </c>
      <c r="H55" s="94"/>
      <c r="I55" s="51"/>
      <c r="J55" s="49"/>
      <c r="K55" s="49"/>
    </row>
    <row r="56" ht="22.5" customHeight="1">
      <c r="A56" s="55">
        <v>54.0</v>
      </c>
      <c r="B56" s="55" t="s">
        <v>277</v>
      </c>
      <c r="C56" s="55" t="s">
        <v>278</v>
      </c>
      <c r="D56" s="78">
        <v>45768.0</v>
      </c>
      <c r="E56" s="61">
        <v>5000.0</v>
      </c>
      <c r="F56" s="55">
        <v>0.0</v>
      </c>
      <c r="G56" s="61">
        <v>5000.0</v>
      </c>
      <c r="H56" s="94"/>
      <c r="I56" s="51"/>
      <c r="J56" s="49"/>
      <c r="K56" s="49"/>
    </row>
    <row r="57" ht="22.5" customHeight="1">
      <c r="A57" s="37">
        <v>55.0</v>
      </c>
      <c r="B57" s="55" t="s">
        <v>281</v>
      </c>
      <c r="C57" s="55" t="s">
        <v>283</v>
      </c>
      <c r="D57" s="78">
        <v>45768.0</v>
      </c>
      <c r="E57" s="61">
        <v>14000.0</v>
      </c>
      <c r="F57" s="55">
        <v>0.0</v>
      </c>
      <c r="G57" s="61">
        <v>14000.0</v>
      </c>
      <c r="H57" s="94"/>
      <c r="I57" s="51"/>
      <c r="J57" s="49"/>
      <c r="K57" s="49"/>
    </row>
    <row r="58" ht="22.5" customHeight="1">
      <c r="A58" s="55">
        <v>56.0</v>
      </c>
      <c r="B58" s="55" t="s">
        <v>284</v>
      </c>
      <c r="C58" s="55" t="s">
        <v>285</v>
      </c>
      <c r="D58" s="78">
        <v>45768.0</v>
      </c>
      <c r="E58" s="61">
        <v>29700.0</v>
      </c>
      <c r="F58" s="55">
        <v>3300.0</v>
      </c>
      <c r="G58" s="61">
        <f>F58+E58</f>
        <v>33000</v>
      </c>
      <c r="H58" s="94"/>
      <c r="I58" s="51"/>
      <c r="J58" s="94"/>
      <c r="K58" s="94"/>
    </row>
    <row r="59" ht="22.5" customHeight="1">
      <c r="A59" s="37">
        <v>57.0</v>
      </c>
      <c r="B59" s="55" t="s">
        <v>91</v>
      </c>
      <c r="C59" s="55" t="s">
        <v>92</v>
      </c>
      <c r="D59" s="78">
        <v>45768.0</v>
      </c>
      <c r="E59" s="61">
        <v>859.0</v>
      </c>
      <c r="F59" s="55">
        <v>0.0</v>
      </c>
      <c r="G59" s="61">
        <v>859.0</v>
      </c>
      <c r="H59" s="94"/>
      <c r="I59" s="51"/>
      <c r="J59" s="49"/>
      <c r="K59" s="49"/>
    </row>
    <row r="60" ht="22.5" customHeight="1">
      <c r="A60" s="55">
        <v>58.0</v>
      </c>
      <c r="B60" s="55" t="s">
        <v>289</v>
      </c>
      <c r="C60" s="55" t="s">
        <v>121</v>
      </c>
      <c r="D60" s="78">
        <v>45769.0</v>
      </c>
      <c r="E60" s="61">
        <v>2052.94</v>
      </c>
      <c r="F60" s="55">
        <v>0.0</v>
      </c>
      <c r="G60" s="61">
        <v>2052.94</v>
      </c>
      <c r="H60" s="94"/>
      <c r="I60" s="51"/>
      <c r="J60" s="49"/>
      <c r="K60" s="49"/>
    </row>
    <row r="61" ht="22.5" customHeight="1">
      <c r="A61" s="37">
        <v>59.0</v>
      </c>
      <c r="B61" s="55" t="s">
        <v>289</v>
      </c>
      <c r="C61" s="55" t="s">
        <v>121</v>
      </c>
      <c r="D61" s="78">
        <v>45771.0</v>
      </c>
      <c r="E61" s="61">
        <v>1642.15</v>
      </c>
      <c r="F61" s="55">
        <v>0.0</v>
      </c>
      <c r="G61" s="61">
        <v>1642.15</v>
      </c>
      <c r="H61" s="94"/>
      <c r="I61" s="51"/>
      <c r="J61" s="49"/>
      <c r="K61" s="49"/>
    </row>
    <row r="62" ht="22.5" customHeight="1">
      <c r="A62" s="55">
        <v>60.0</v>
      </c>
      <c r="B62" s="55" t="s">
        <v>293</v>
      </c>
      <c r="C62" s="55" t="s">
        <v>121</v>
      </c>
      <c r="D62" s="78">
        <v>45772.0</v>
      </c>
      <c r="E62" s="61">
        <v>13343.0</v>
      </c>
      <c r="F62" s="55">
        <v>0.0</v>
      </c>
      <c r="G62" s="61">
        <v>13343.0</v>
      </c>
      <c r="H62" s="94"/>
      <c r="I62" s="51"/>
      <c r="J62" s="49"/>
      <c r="K62" s="49"/>
    </row>
    <row r="63" ht="22.5" customHeight="1">
      <c r="A63" s="37">
        <v>61.0</v>
      </c>
      <c r="B63" s="55" t="s">
        <v>295</v>
      </c>
      <c r="C63" s="55" t="s">
        <v>285</v>
      </c>
      <c r="D63" s="78">
        <v>45772.0</v>
      </c>
      <c r="E63" s="61">
        <v>11000.0</v>
      </c>
      <c r="F63" s="55">
        <v>0.0</v>
      </c>
      <c r="G63" s="61">
        <v>11000.0</v>
      </c>
      <c r="H63" s="94"/>
      <c r="I63" s="51"/>
      <c r="J63" s="49"/>
      <c r="K63" s="49"/>
    </row>
    <row r="64" ht="22.5" customHeight="1">
      <c r="A64" s="55">
        <v>62.0</v>
      </c>
      <c r="B64" s="55" t="s">
        <v>298</v>
      </c>
      <c r="C64" s="55" t="s">
        <v>299</v>
      </c>
      <c r="D64" s="78">
        <v>45772.0</v>
      </c>
      <c r="E64" s="61">
        <v>9639.0</v>
      </c>
      <c r="F64" s="55">
        <v>0.0</v>
      </c>
      <c r="G64" s="61">
        <v>9639.0</v>
      </c>
      <c r="H64" s="94"/>
      <c r="I64" s="51"/>
      <c r="J64" s="49"/>
      <c r="K64" s="49"/>
    </row>
    <row r="65" ht="22.5" customHeight="1">
      <c r="A65" s="37">
        <v>63.0</v>
      </c>
      <c r="B65" s="55" t="s">
        <v>301</v>
      </c>
      <c r="C65" s="55" t="s">
        <v>302</v>
      </c>
      <c r="D65" s="78">
        <v>45772.0</v>
      </c>
      <c r="E65" s="61">
        <v>7972.0</v>
      </c>
      <c r="F65" s="55">
        <v>0.0</v>
      </c>
      <c r="G65" s="61">
        <v>7972.0</v>
      </c>
      <c r="H65" s="94"/>
      <c r="I65" s="51"/>
      <c r="J65" s="49"/>
      <c r="K65" s="49"/>
    </row>
    <row r="66" ht="22.5" customHeight="1">
      <c r="A66" s="55">
        <v>64.0</v>
      </c>
      <c r="B66" s="55" t="s">
        <v>305</v>
      </c>
      <c r="C66" s="55" t="s">
        <v>307</v>
      </c>
      <c r="D66" s="78">
        <v>45772.0</v>
      </c>
      <c r="E66" s="61">
        <v>15910.0</v>
      </c>
      <c r="F66" s="55">
        <v>0.0</v>
      </c>
      <c r="G66" s="61">
        <v>15910.0</v>
      </c>
      <c r="H66" s="94"/>
      <c r="I66" s="51"/>
      <c r="J66" s="49"/>
      <c r="K66" s="49"/>
    </row>
    <row r="67" ht="22.5" customHeight="1">
      <c r="A67" s="37">
        <v>65.0</v>
      </c>
      <c r="B67" s="55" t="s">
        <v>142</v>
      </c>
      <c r="C67" s="55" t="s">
        <v>309</v>
      </c>
      <c r="D67" s="78">
        <v>45772.0</v>
      </c>
      <c r="E67" s="61">
        <v>40000.0</v>
      </c>
      <c r="F67" s="55">
        <v>0.0</v>
      </c>
      <c r="G67" s="61">
        <v>40000.0</v>
      </c>
      <c r="H67" s="94"/>
      <c r="I67" s="51"/>
      <c r="J67" s="49"/>
      <c r="K67" s="49"/>
    </row>
    <row r="68" ht="22.5" customHeight="1">
      <c r="A68" s="55">
        <v>66.0</v>
      </c>
      <c r="B68" s="55" t="s">
        <v>91</v>
      </c>
      <c r="C68" s="55" t="s">
        <v>92</v>
      </c>
      <c r="D68" s="78">
        <v>45772.0</v>
      </c>
      <c r="E68" s="61">
        <v>1468.0</v>
      </c>
      <c r="F68" s="55">
        <v>0.0</v>
      </c>
      <c r="G68" s="61">
        <v>1468.0</v>
      </c>
      <c r="H68" s="94"/>
      <c r="I68" s="51"/>
      <c r="J68" s="49"/>
      <c r="K68" s="49"/>
    </row>
    <row r="69" ht="22.5" customHeight="1">
      <c r="A69" s="37">
        <v>67.0</v>
      </c>
      <c r="B69" s="55" t="s">
        <v>72</v>
      </c>
      <c r="C69" s="55" t="s">
        <v>312</v>
      </c>
      <c r="D69" s="78">
        <v>45773.0</v>
      </c>
      <c r="E69" s="61">
        <v>53500.0</v>
      </c>
      <c r="F69" s="55">
        <v>0.0</v>
      </c>
      <c r="G69" s="61">
        <v>53500.0</v>
      </c>
      <c r="H69" s="94"/>
      <c r="I69" s="51"/>
      <c r="J69" s="49"/>
      <c r="K69" s="49"/>
    </row>
    <row r="70" ht="22.5" customHeight="1">
      <c r="A70" s="55">
        <v>68.0</v>
      </c>
      <c r="B70" s="55" t="s">
        <v>48</v>
      </c>
      <c r="C70" s="55"/>
      <c r="D70" s="78">
        <v>45774.0</v>
      </c>
      <c r="E70" s="61">
        <v>40000.0</v>
      </c>
      <c r="F70" s="55"/>
      <c r="G70" s="61">
        <v>40000.0</v>
      </c>
      <c r="H70" s="94"/>
      <c r="I70" s="51"/>
      <c r="J70" s="49"/>
      <c r="K70" s="49"/>
    </row>
    <row r="71" ht="22.5" customHeight="1">
      <c r="A71" s="37">
        <v>69.0</v>
      </c>
      <c r="B71" s="55" t="s">
        <v>316</v>
      </c>
      <c r="C71" s="55" t="s">
        <v>317</v>
      </c>
      <c r="D71" s="78">
        <v>45776.0</v>
      </c>
      <c r="E71" s="61">
        <v>16000.0</v>
      </c>
      <c r="F71" s="55"/>
      <c r="G71" s="61">
        <v>16000.0</v>
      </c>
      <c r="H71" s="94"/>
      <c r="I71" s="51"/>
      <c r="J71" s="49"/>
      <c r="K71" s="49"/>
    </row>
    <row r="72" ht="22.5" customHeight="1">
      <c r="A72" s="55">
        <v>70.0</v>
      </c>
      <c r="B72" s="55" t="s">
        <v>318</v>
      </c>
      <c r="C72" s="55" t="s">
        <v>319</v>
      </c>
      <c r="D72" s="78">
        <v>45776.0</v>
      </c>
      <c r="E72" s="61">
        <v>17590.0</v>
      </c>
      <c r="F72" s="55"/>
      <c r="G72" s="61">
        <v>17590.0</v>
      </c>
      <c r="H72" s="94"/>
      <c r="I72" s="51"/>
      <c r="J72" s="49"/>
      <c r="K72" s="49"/>
    </row>
    <row r="73" ht="22.5" customHeight="1">
      <c r="A73" s="37">
        <v>71.0</v>
      </c>
      <c r="B73" s="55" t="s">
        <v>321</v>
      </c>
      <c r="C73" s="55" t="s">
        <v>323</v>
      </c>
      <c r="D73" s="78">
        <v>45776.0</v>
      </c>
      <c r="E73" s="61">
        <v>12423.0</v>
      </c>
      <c r="F73" s="55"/>
      <c r="G73" s="61">
        <v>12423.0</v>
      </c>
      <c r="H73" s="94"/>
      <c r="I73" s="51"/>
      <c r="J73" s="49"/>
      <c r="K73" s="49"/>
    </row>
    <row r="74" ht="22.5" customHeight="1">
      <c r="A74" s="55">
        <v>72.0</v>
      </c>
      <c r="B74" s="55" t="s">
        <v>41</v>
      </c>
      <c r="C74" s="55" t="s">
        <v>324</v>
      </c>
      <c r="D74" s="78">
        <v>45776.0</v>
      </c>
      <c r="E74" s="61">
        <v>6215.0</v>
      </c>
      <c r="F74" s="55"/>
      <c r="G74" s="61">
        <v>6215.0</v>
      </c>
      <c r="H74" s="94"/>
      <c r="I74" s="51"/>
      <c r="J74" s="49"/>
      <c r="K74" s="49"/>
    </row>
    <row r="75" ht="22.5" customHeight="1">
      <c r="A75" s="37">
        <v>73.0</v>
      </c>
      <c r="B75" s="174" t="s">
        <v>327</v>
      </c>
      <c r="C75" s="174" t="s">
        <v>328</v>
      </c>
      <c r="D75" s="175">
        <v>45776.0</v>
      </c>
      <c r="E75" s="61">
        <v>25430.0</v>
      </c>
      <c r="F75" s="174"/>
      <c r="G75" s="176">
        <v>25430.0</v>
      </c>
      <c r="H75" s="94"/>
      <c r="I75" s="51"/>
      <c r="J75" s="49"/>
      <c r="K75" s="49"/>
    </row>
    <row r="76" ht="22.5" customHeight="1">
      <c r="A76" s="55">
        <v>74.0</v>
      </c>
      <c r="B76" s="55" t="s">
        <v>331</v>
      </c>
      <c r="C76" s="55" t="s">
        <v>332</v>
      </c>
      <c r="D76" s="78">
        <v>45778.0</v>
      </c>
      <c r="E76" s="61">
        <v>10000.0</v>
      </c>
      <c r="F76" s="55"/>
      <c r="G76" s="61">
        <v>10000.0</v>
      </c>
      <c r="H76" s="94"/>
      <c r="I76" s="51"/>
      <c r="J76" s="49"/>
      <c r="K76" s="49"/>
    </row>
    <row r="77" ht="22.5" customHeight="1">
      <c r="A77" s="37">
        <v>75.0</v>
      </c>
      <c r="B77" s="55" t="s">
        <v>109</v>
      </c>
      <c r="C77" s="55"/>
      <c r="D77" s="78">
        <v>45779.0</v>
      </c>
      <c r="E77" s="61">
        <v>30000.0</v>
      </c>
      <c r="F77" s="55"/>
      <c r="G77" s="61">
        <v>30000.0</v>
      </c>
      <c r="H77" s="94"/>
      <c r="I77" s="94"/>
      <c r="J77" s="94"/>
      <c r="K77" s="94"/>
    </row>
    <row r="78" ht="22.5" customHeight="1">
      <c r="A78" s="55">
        <v>76.0</v>
      </c>
      <c r="B78" s="55" t="s">
        <v>335</v>
      </c>
      <c r="C78" s="55" t="s">
        <v>336</v>
      </c>
      <c r="D78" s="78">
        <v>45782.0</v>
      </c>
      <c r="E78" s="61">
        <v>10000.0</v>
      </c>
      <c r="F78" s="55"/>
      <c r="G78" s="61">
        <v>10000.0</v>
      </c>
      <c r="H78" s="94"/>
      <c r="I78" s="51"/>
      <c r="J78" s="49"/>
      <c r="K78" s="49"/>
    </row>
    <row r="79" ht="22.5" customHeight="1">
      <c r="A79" s="37">
        <v>77.0</v>
      </c>
      <c r="B79" s="55" t="s">
        <v>339</v>
      </c>
      <c r="C79" s="55" t="s">
        <v>340</v>
      </c>
      <c r="D79" s="78">
        <v>45782.0</v>
      </c>
      <c r="E79" s="61">
        <v>15833.0</v>
      </c>
      <c r="F79" s="55"/>
      <c r="G79" s="61">
        <v>15833.0</v>
      </c>
      <c r="H79" s="94"/>
      <c r="I79" s="51"/>
      <c r="J79" s="49"/>
      <c r="K79" s="49"/>
    </row>
    <row r="80" ht="22.5" customHeight="1">
      <c r="A80" s="55">
        <v>78.0</v>
      </c>
      <c r="B80" s="55" t="s">
        <v>91</v>
      </c>
      <c r="C80" s="55" t="s">
        <v>342</v>
      </c>
      <c r="D80" s="78">
        <v>45814.0</v>
      </c>
      <c r="E80" s="61">
        <v>9644.0</v>
      </c>
      <c r="F80" s="55"/>
      <c r="G80" s="61">
        <v>9644.0</v>
      </c>
      <c r="H80" s="94"/>
      <c r="I80" s="51"/>
      <c r="J80" s="49"/>
      <c r="K80" s="49"/>
    </row>
    <row r="81" ht="22.5" customHeight="1">
      <c r="A81" s="37">
        <v>79.0</v>
      </c>
      <c r="B81" s="55" t="s">
        <v>344</v>
      </c>
      <c r="C81" s="55" t="s">
        <v>345</v>
      </c>
      <c r="D81" s="78">
        <v>45783.0</v>
      </c>
      <c r="E81" s="61">
        <v>9041.0</v>
      </c>
      <c r="F81" s="55"/>
      <c r="G81" s="61">
        <v>9041.0</v>
      </c>
      <c r="H81" s="94"/>
      <c r="I81" s="51"/>
      <c r="J81" s="49"/>
      <c r="K81" s="49"/>
    </row>
    <row r="82" ht="22.5" customHeight="1">
      <c r="A82" s="55">
        <v>80.0</v>
      </c>
      <c r="B82" s="55" t="s">
        <v>346</v>
      </c>
      <c r="C82" s="55" t="s">
        <v>347</v>
      </c>
      <c r="D82" s="78">
        <v>45784.0</v>
      </c>
      <c r="E82" s="61">
        <v>15000.0</v>
      </c>
      <c r="F82" s="55"/>
      <c r="G82" s="61">
        <v>15000.0</v>
      </c>
      <c r="H82" s="94"/>
      <c r="I82" s="51"/>
      <c r="J82" s="49"/>
      <c r="K82" s="49"/>
    </row>
    <row r="83" ht="22.5" customHeight="1">
      <c r="A83" s="37">
        <v>81.0</v>
      </c>
      <c r="B83" s="55" t="s">
        <v>118</v>
      </c>
      <c r="C83" s="55" t="s">
        <v>349</v>
      </c>
      <c r="D83" s="78">
        <v>45785.0</v>
      </c>
      <c r="E83" s="61">
        <v>441.0</v>
      </c>
      <c r="F83" s="55"/>
      <c r="G83" s="61">
        <v>441.0</v>
      </c>
      <c r="H83" s="94"/>
      <c r="I83" s="51"/>
      <c r="J83" s="49"/>
      <c r="K83" s="49"/>
    </row>
    <row r="84" ht="22.5" customHeight="1">
      <c r="A84" s="55">
        <v>82.0</v>
      </c>
      <c r="B84" s="55" t="s">
        <v>344</v>
      </c>
      <c r="C84" s="55" t="s">
        <v>351</v>
      </c>
      <c r="D84" s="78">
        <v>45786.0</v>
      </c>
      <c r="E84" s="61">
        <v>11028.0</v>
      </c>
      <c r="F84" s="55"/>
      <c r="G84" s="61">
        <v>11028.0</v>
      </c>
      <c r="H84" s="94"/>
      <c r="I84" s="51"/>
      <c r="J84" s="49"/>
      <c r="K84" s="49"/>
    </row>
    <row r="85" ht="22.5" customHeight="1">
      <c r="A85" s="37">
        <v>83.0</v>
      </c>
      <c r="B85" s="55" t="s">
        <v>353</v>
      </c>
      <c r="C85" s="55" t="s">
        <v>121</v>
      </c>
      <c r="D85" s="78">
        <v>45789.0</v>
      </c>
      <c r="E85" s="61">
        <v>1781.0</v>
      </c>
      <c r="F85" s="130"/>
      <c r="G85" s="61">
        <v>1781.0</v>
      </c>
      <c r="H85" s="94"/>
      <c r="I85" s="51"/>
      <c r="J85" s="49"/>
      <c r="K85" s="49"/>
    </row>
    <row r="86" ht="22.5" customHeight="1">
      <c r="A86" s="55">
        <v>84.0</v>
      </c>
      <c r="B86" s="55" t="s">
        <v>355</v>
      </c>
      <c r="C86" s="55" t="s">
        <v>121</v>
      </c>
      <c r="D86" s="78">
        <v>45791.0</v>
      </c>
      <c r="E86" s="61">
        <v>89.0</v>
      </c>
      <c r="F86" s="130"/>
      <c r="G86" s="61">
        <v>89.0</v>
      </c>
      <c r="H86" s="94"/>
      <c r="I86" s="51"/>
      <c r="J86" s="49"/>
      <c r="K86" s="49"/>
    </row>
    <row r="87" ht="22.5" customHeight="1">
      <c r="A87" s="37">
        <v>85.0</v>
      </c>
      <c r="B87" s="55" t="s">
        <v>356</v>
      </c>
      <c r="C87" s="55" t="s">
        <v>357</v>
      </c>
      <c r="D87" s="78">
        <v>45792.0</v>
      </c>
      <c r="E87" s="61">
        <v>30000.0</v>
      </c>
      <c r="F87" s="130"/>
      <c r="G87" s="61">
        <v>30000.0</v>
      </c>
      <c r="H87" s="94"/>
      <c r="I87" s="51"/>
      <c r="J87" s="49"/>
      <c r="K87" s="49"/>
    </row>
    <row r="88" ht="22.5" customHeight="1">
      <c r="A88" s="55">
        <v>86.0</v>
      </c>
      <c r="B88" s="55" t="s">
        <v>359</v>
      </c>
      <c r="C88" s="55" t="s">
        <v>360</v>
      </c>
      <c r="D88" s="78">
        <v>45792.0</v>
      </c>
      <c r="E88" s="61">
        <v>53000.0</v>
      </c>
      <c r="F88" s="130"/>
      <c r="G88" s="61">
        <v>53000.0</v>
      </c>
      <c r="H88" s="94"/>
      <c r="I88" s="51"/>
      <c r="J88" s="49"/>
      <c r="K88" s="49"/>
    </row>
    <row r="89" ht="22.5" customHeight="1">
      <c r="A89" s="37">
        <v>87.0</v>
      </c>
      <c r="B89" s="55" t="s">
        <v>362</v>
      </c>
      <c r="C89" s="55" t="s">
        <v>363</v>
      </c>
      <c r="D89" s="78">
        <v>45792.0</v>
      </c>
      <c r="E89" s="61">
        <v>34800.0</v>
      </c>
      <c r="F89" s="130"/>
      <c r="G89" s="61">
        <v>34800.0</v>
      </c>
      <c r="H89" s="94"/>
      <c r="I89" s="51"/>
      <c r="J89" s="49"/>
      <c r="K89" s="49"/>
    </row>
    <row r="90" ht="22.5" customHeight="1">
      <c r="A90" s="55">
        <v>88.0</v>
      </c>
      <c r="B90" s="55" t="s">
        <v>365</v>
      </c>
      <c r="C90" s="55" t="s">
        <v>366</v>
      </c>
      <c r="D90" s="78">
        <v>45792.0</v>
      </c>
      <c r="E90" s="61">
        <v>25000.0</v>
      </c>
      <c r="F90" s="130"/>
      <c r="G90" s="61">
        <v>25000.0</v>
      </c>
      <c r="H90" s="94"/>
      <c r="I90" s="51"/>
      <c r="J90" s="49"/>
      <c r="K90" s="49"/>
    </row>
    <row r="91" ht="22.5" customHeight="1">
      <c r="A91" s="37">
        <v>89.0</v>
      </c>
      <c r="B91" s="55" t="s">
        <v>367</v>
      </c>
      <c r="C91" s="55" t="s">
        <v>369</v>
      </c>
      <c r="D91" s="78">
        <v>45792.0</v>
      </c>
      <c r="E91" s="61">
        <v>30000.0</v>
      </c>
      <c r="F91" s="130"/>
      <c r="G91" s="61">
        <v>30000.0</v>
      </c>
      <c r="H91" s="94"/>
      <c r="I91" s="51"/>
      <c r="J91" s="49"/>
      <c r="K91" s="49"/>
    </row>
    <row r="92" ht="22.5" customHeight="1">
      <c r="A92" s="55">
        <v>90.0</v>
      </c>
      <c r="B92" s="55" t="s">
        <v>372</v>
      </c>
      <c r="C92" s="55" t="s">
        <v>373</v>
      </c>
      <c r="D92" s="78">
        <v>45792.0</v>
      </c>
      <c r="E92" s="61">
        <v>30000.0</v>
      </c>
      <c r="F92" s="130"/>
      <c r="G92" s="61">
        <v>30000.0</v>
      </c>
      <c r="H92" s="94"/>
      <c r="I92" s="51"/>
      <c r="J92" s="49"/>
      <c r="K92" s="49"/>
    </row>
    <row r="93" ht="22.5" customHeight="1">
      <c r="A93" s="37">
        <v>91.0</v>
      </c>
      <c r="B93" s="55" t="s">
        <v>376</v>
      </c>
      <c r="C93" s="55" t="s">
        <v>213</v>
      </c>
      <c r="D93" s="78">
        <v>45792.0</v>
      </c>
      <c r="E93" s="61">
        <v>5550.0</v>
      </c>
      <c r="F93" s="130"/>
      <c r="G93" s="61">
        <v>5550.0</v>
      </c>
      <c r="H93" s="94"/>
      <c r="I93" s="51"/>
      <c r="J93" s="49"/>
      <c r="K93" s="49"/>
    </row>
    <row r="94" ht="22.5" customHeight="1">
      <c r="A94" s="55">
        <v>92.0</v>
      </c>
      <c r="B94" s="55" t="s">
        <v>225</v>
      </c>
      <c r="C94" s="55" t="s">
        <v>377</v>
      </c>
      <c r="D94" s="78">
        <v>45792.0</v>
      </c>
      <c r="E94" s="61">
        <v>25000.0</v>
      </c>
      <c r="F94" s="130"/>
      <c r="G94" s="61">
        <v>25000.0</v>
      </c>
      <c r="H94" s="94"/>
      <c r="I94" s="51"/>
      <c r="J94" s="49"/>
      <c r="K94" s="49"/>
    </row>
    <row r="95" ht="22.5" customHeight="1">
      <c r="A95" s="37">
        <v>93.0</v>
      </c>
      <c r="B95" s="55" t="s">
        <v>379</v>
      </c>
      <c r="C95" s="55" t="s">
        <v>380</v>
      </c>
      <c r="D95" s="78">
        <v>45793.0</v>
      </c>
      <c r="E95" s="61">
        <v>15500.0</v>
      </c>
      <c r="F95" s="130"/>
      <c r="G95" s="61">
        <v>15500.0</v>
      </c>
      <c r="H95" s="94"/>
      <c r="I95" s="51"/>
      <c r="J95" s="49"/>
      <c r="K95" s="49"/>
    </row>
    <row r="96" ht="22.5" customHeight="1">
      <c r="A96" s="55">
        <v>94.0</v>
      </c>
      <c r="B96" s="55" t="s">
        <v>382</v>
      </c>
      <c r="C96" s="55" t="s">
        <v>121</v>
      </c>
      <c r="D96" s="78">
        <v>45794.0</v>
      </c>
      <c r="E96" s="61">
        <v>10701.0</v>
      </c>
      <c r="F96" s="130"/>
      <c r="G96" s="61">
        <v>10701.0</v>
      </c>
      <c r="H96" s="94"/>
      <c r="I96" s="51"/>
      <c r="J96" s="49"/>
      <c r="K96" s="49"/>
    </row>
    <row r="97" ht="22.5" customHeight="1">
      <c r="A97" s="37">
        <v>95.0</v>
      </c>
      <c r="B97" s="55" t="s">
        <v>275</v>
      </c>
      <c r="C97" s="55" t="s">
        <v>121</v>
      </c>
      <c r="D97" s="78">
        <v>45795.0</v>
      </c>
      <c r="E97" s="61">
        <v>2586.0</v>
      </c>
      <c r="F97" s="130"/>
      <c r="G97" s="61">
        <v>2586.0</v>
      </c>
      <c r="H97" s="94"/>
      <c r="I97" s="51"/>
      <c r="J97" s="49"/>
      <c r="K97" s="49"/>
    </row>
    <row r="98" ht="22.5" customHeight="1">
      <c r="A98" s="55">
        <v>96.0</v>
      </c>
      <c r="B98" s="55" t="s">
        <v>272</v>
      </c>
      <c r="C98" s="55" t="s">
        <v>121</v>
      </c>
      <c r="D98" s="78">
        <v>45795.0</v>
      </c>
      <c r="E98" s="61">
        <v>2943.0</v>
      </c>
      <c r="F98" s="61"/>
      <c r="G98" s="61">
        <v>2943.0</v>
      </c>
      <c r="H98" s="94"/>
      <c r="I98" s="51"/>
      <c r="J98" s="49"/>
      <c r="K98" s="49"/>
    </row>
    <row r="99" ht="22.5" customHeight="1">
      <c r="A99" s="37">
        <v>97.0</v>
      </c>
      <c r="B99" s="55" t="s">
        <v>387</v>
      </c>
      <c r="C99" s="55" t="s">
        <v>388</v>
      </c>
      <c r="D99" s="78">
        <v>45796.0</v>
      </c>
      <c r="E99" s="61">
        <v>60000.0</v>
      </c>
      <c r="F99" s="130"/>
      <c r="G99" s="61">
        <v>60000.0</v>
      </c>
      <c r="H99" s="94"/>
      <c r="I99" s="51"/>
      <c r="J99" s="49"/>
      <c r="K99" s="49"/>
    </row>
    <row r="100" ht="22.5" customHeight="1">
      <c r="A100" s="55">
        <v>98.0</v>
      </c>
      <c r="B100" s="55" t="s">
        <v>390</v>
      </c>
      <c r="C100" s="55" t="s">
        <v>391</v>
      </c>
      <c r="D100" s="78">
        <v>45796.0</v>
      </c>
      <c r="E100" s="61">
        <v>13595.0</v>
      </c>
      <c r="F100" s="130"/>
      <c r="G100" s="61">
        <v>13595.0</v>
      </c>
      <c r="H100" s="94"/>
      <c r="I100" s="51"/>
      <c r="J100" s="49"/>
      <c r="K100" s="49"/>
    </row>
    <row r="101" ht="22.5" customHeight="1">
      <c r="A101" s="37">
        <v>99.0</v>
      </c>
      <c r="B101" s="55" t="s">
        <v>30</v>
      </c>
      <c r="C101" s="55" t="s">
        <v>393</v>
      </c>
      <c r="D101" s="78">
        <v>45796.0</v>
      </c>
      <c r="E101" s="61">
        <v>14000.0</v>
      </c>
      <c r="F101" s="130"/>
      <c r="G101" s="61">
        <v>14000.0</v>
      </c>
      <c r="H101" s="94"/>
      <c r="I101" s="51"/>
      <c r="J101" s="49"/>
      <c r="K101" s="49"/>
    </row>
    <row r="102" ht="22.5" customHeight="1">
      <c r="A102" s="55">
        <v>100.0</v>
      </c>
      <c r="B102" s="55" t="s">
        <v>362</v>
      </c>
      <c r="C102" s="55" t="s">
        <v>394</v>
      </c>
      <c r="D102" s="78">
        <v>45796.0</v>
      </c>
      <c r="E102" s="61">
        <v>34800.0</v>
      </c>
      <c r="F102" s="130"/>
      <c r="G102" s="61">
        <v>34800.0</v>
      </c>
      <c r="H102" s="94"/>
      <c r="I102" s="51"/>
      <c r="J102" s="49"/>
      <c r="K102" s="49"/>
    </row>
    <row r="103" ht="22.5" customHeight="1">
      <c r="A103" s="37">
        <v>101.0</v>
      </c>
      <c r="B103" s="55" t="s">
        <v>91</v>
      </c>
      <c r="C103" s="55" t="s">
        <v>92</v>
      </c>
      <c r="D103" s="78">
        <v>45796.0</v>
      </c>
      <c r="E103" s="61">
        <v>2639.0</v>
      </c>
      <c r="F103" s="130"/>
      <c r="G103" s="61">
        <v>2639.0</v>
      </c>
      <c r="H103" s="94"/>
      <c r="I103" s="51"/>
      <c r="J103" s="49"/>
      <c r="K103" s="49"/>
    </row>
    <row r="104" ht="22.5" customHeight="1">
      <c r="A104" s="55">
        <v>102.0</v>
      </c>
      <c r="B104" s="55" t="s">
        <v>399</v>
      </c>
      <c r="C104" s="55" t="s">
        <v>400</v>
      </c>
      <c r="D104" s="78">
        <v>45797.0</v>
      </c>
      <c r="E104" s="61">
        <v>8000.0</v>
      </c>
      <c r="F104" s="130"/>
      <c r="G104" s="61">
        <v>8000.0</v>
      </c>
      <c r="H104" s="94"/>
      <c r="I104" s="51"/>
      <c r="J104" s="49"/>
      <c r="K104" s="49"/>
    </row>
    <row r="105" ht="22.5" customHeight="1">
      <c r="A105" s="37">
        <v>103.0</v>
      </c>
      <c r="B105" s="55" t="s">
        <v>401</v>
      </c>
      <c r="C105" s="55" t="s">
        <v>402</v>
      </c>
      <c r="D105" s="78">
        <v>45797.0</v>
      </c>
      <c r="E105" s="61">
        <v>17000.0</v>
      </c>
      <c r="F105" s="130"/>
      <c r="G105" s="61">
        <v>17000.0</v>
      </c>
      <c r="H105" s="94"/>
      <c r="I105" s="51"/>
      <c r="J105" s="49"/>
      <c r="K105" s="49"/>
    </row>
    <row r="106" ht="22.5" customHeight="1">
      <c r="A106" s="55">
        <v>104.0</v>
      </c>
      <c r="B106" s="55" t="s">
        <v>81</v>
      </c>
      <c r="C106" s="55" t="s">
        <v>406</v>
      </c>
      <c r="D106" s="78">
        <v>45797.0</v>
      </c>
      <c r="E106" s="61">
        <v>11000.0</v>
      </c>
      <c r="F106" s="130"/>
      <c r="G106" s="61">
        <v>11000.0</v>
      </c>
      <c r="H106" s="94"/>
      <c r="I106" s="51"/>
      <c r="J106" s="49"/>
      <c r="K106" s="49"/>
    </row>
    <row r="107" ht="22.5" customHeight="1">
      <c r="A107" s="37">
        <v>105.0</v>
      </c>
      <c r="B107" s="55" t="s">
        <v>408</v>
      </c>
      <c r="C107" s="55" t="s">
        <v>299</v>
      </c>
      <c r="D107" s="78">
        <v>45797.0</v>
      </c>
      <c r="E107" s="61">
        <v>6500.0</v>
      </c>
      <c r="F107" s="130"/>
      <c r="G107" s="61">
        <v>6500.0</v>
      </c>
      <c r="H107" s="94"/>
      <c r="I107" s="51"/>
      <c r="J107" s="49"/>
      <c r="K107" s="49"/>
    </row>
    <row r="108" ht="22.5" customHeight="1">
      <c r="A108" s="55">
        <v>106.0</v>
      </c>
      <c r="B108" s="55" t="s">
        <v>289</v>
      </c>
      <c r="C108" s="55" t="s">
        <v>409</v>
      </c>
      <c r="D108" s="78">
        <v>45798.0</v>
      </c>
      <c r="E108" s="61">
        <v>1642.0</v>
      </c>
      <c r="F108" s="130"/>
      <c r="G108" s="61">
        <v>1642.0</v>
      </c>
      <c r="H108" s="94"/>
      <c r="I108" s="51"/>
      <c r="J108" s="49"/>
      <c r="K108" s="49"/>
    </row>
    <row r="109" ht="22.5" customHeight="1">
      <c r="A109" s="37">
        <v>107.0</v>
      </c>
      <c r="B109" s="55" t="s">
        <v>36</v>
      </c>
      <c r="C109" s="55" t="s">
        <v>411</v>
      </c>
      <c r="D109" s="78">
        <v>45798.0</v>
      </c>
      <c r="E109" s="61">
        <v>20000.0</v>
      </c>
      <c r="F109" s="130"/>
      <c r="G109" s="61">
        <v>20000.0</v>
      </c>
      <c r="H109" s="94"/>
      <c r="I109" s="51"/>
      <c r="J109" s="49"/>
      <c r="K109" s="49"/>
    </row>
    <row r="110" ht="22.5" customHeight="1">
      <c r="A110" s="55">
        <v>108.0</v>
      </c>
      <c r="B110" s="55" t="s">
        <v>142</v>
      </c>
      <c r="C110" s="55" t="s">
        <v>413</v>
      </c>
      <c r="D110" s="78">
        <v>45798.0</v>
      </c>
      <c r="E110" s="61">
        <v>29700.0</v>
      </c>
      <c r="F110" s="55">
        <v>300.0</v>
      </c>
      <c r="G110" s="61">
        <v>30000.0</v>
      </c>
      <c r="H110" s="94"/>
      <c r="I110" s="51"/>
      <c r="J110" s="49"/>
      <c r="K110" s="49"/>
    </row>
    <row r="111" ht="22.5" customHeight="1">
      <c r="A111" s="37">
        <v>109.0</v>
      </c>
      <c r="B111" s="55" t="s">
        <v>415</v>
      </c>
      <c r="C111" s="55" t="s">
        <v>416</v>
      </c>
      <c r="D111" s="78">
        <v>45798.0</v>
      </c>
      <c r="E111" s="61">
        <v>19440.0</v>
      </c>
      <c r="F111" s="130"/>
      <c r="G111" s="61">
        <v>19440.0</v>
      </c>
      <c r="H111" s="94"/>
      <c r="I111" s="51"/>
      <c r="J111" s="49"/>
      <c r="K111" s="49"/>
    </row>
    <row r="112" ht="22.5" customHeight="1">
      <c r="A112" s="55">
        <v>110.0</v>
      </c>
      <c r="B112" s="55" t="s">
        <v>418</v>
      </c>
      <c r="C112" s="55" t="s">
        <v>419</v>
      </c>
      <c r="D112" s="78">
        <v>45798.0</v>
      </c>
      <c r="E112" s="61">
        <v>1999.0</v>
      </c>
      <c r="F112" s="130"/>
      <c r="G112" s="61">
        <v>1999.0</v>
      </c>
      <c r="H112" s="94"/>
      <c r="I112" s="51"/>
      <c r="J112" s="49"/>
      <c r="K112" s="49"/>
    </row>
    <row r="113" ht="22.5" customHeight="1">
      <c r="A113" s="37">
        <v>111.0</v>
      </c>
      <c r="B113" s="55" t="s">
        <v>289</v>
      </c>
      <c r="C113" s="55" t="s">
        <v>409</v>
      </c>
      <c r="D113" s="78">
        <v>45798.0</v>
      </c>
      <c r="E113" s="61">
        <v>2052.0</v>
      </c>
      <c r="F113" s="130"/>
      <c r="G113" s="61">
        <v>2052.0</v>
      </c>
      <c r="H113" s="94"/>
      <c r="I113" s="51"/>
      <c r="J113" s="49"/>
      <c r="K113" s="49"/>
    </row>
    <row r="114" ht="22.5" customHeight="1">
      <c r="A114" s="55">
        <v>112.0</v>
      </c>
      <c r="B114" s="55" t="s">
        <v>293</v>
      </c>
      <c r="C114" s="55" t="s">
        <v>409</v>
      </c>
      <c r="D114" s="78">
        <v>45802.0</v>
      </c>
      <c r="E114" s="61">
        <v>15099.0</v>
      </c>
      <c r="F114" s="130"/>
      <c r="G114" s="61">
        <v>15099.0</v>
      </c>
      <c r="H114" s="94"/>
      <c r="I114" s="51"/>
      <c r="J114" s="49"/>
      <c r="K114" s="49"/>
    </row>
    <row r="115" ht="22.5" customHeight="1">
      <c r="A115" s="37">
        <v>113.0</v>
      </c>
      <c r="B115" s="55" t="s">
        <v>225</v>
      </c>
      <c r="C115" s="55" t="s">
        <v>426</v>
      </c>
      <c r="D115" s="78">
        <v>45802.0</v>
      </c>
      <c r="E115" s="61">
        <v>51803.0</v>
      </c>
      <c r="F115" s="130"/>
      <c r="G115" s="61">
        <v>51803.0</v>
      </c>
      <c r="H115" s="94"/>
      <c r="I115" s="51"/>
      <c r="J115" s="49"/>
      <c r="K115" s="49"/>
    </row>
    <row r="116" ht="22.5" customHeight="1">
      <c r="A116" s="55">
        <v>114.0</v>
      </c>
      <c r="B116" s="55" t="s">
        <v>318</v>
      </c>
      <c r="C116" s="55" t="s">
        <v>427</v>
      </c>
      <c r="D116" s="78">
        <v>45802.0</v>
      </c>
      <c r="E116" s="61">
        <v>8703.0</v>
      </c>
      <c r="F116" s="130"/>
      <c r="G116" s="61">
        <v>8703.0</v>
      </c>
      <c r="H116" s="94"/>
      <c r="I116" s="51"/>
      <c r="J116" s="49"/>
      <c r="K116" s="49"/>
    </row>
    <row r="117" ht="22.5" customHeight="1">
      <c r="A117" s="37">
        <v>115.0</v>
      </c>
      <c r="B117" s="55" t="s">
        <v>390</v>
      </c>
      <c r="C117" s="55" t="s">
        <v>429</v>
      </c>
      <c r="D117" s="78">
        <v>45802.0</v>
      </c>
      <c r="E117" s="61">
        <v>1650.0</v>
      </c>
      <c r="F117" s="130"/>
      <c r="G117" s="61">
        <v>1650.0</v>
      </c>
      <c r="H117" s="94"/>
      <c r="I117" s="51"/>
      <c r="J117" s="49"/>
      <c r="K117" s="49"/>
    </row>
    <row r="118" ht="22.5" customHeight="1">
      <c r="A118" s="55">
        <v>116.0</v>
      </c>
      <c r="B118" s="55" t="s">
        <v>359</v>
      </c>
      <c r="C118" s="55" t="s">
        <v>432</v>
      </c>
      <c r="D118" s="78">
        <v>45802.0</v>
      </c>
      <c r="E118" s="61">
        <v>51940.0</v>
      </c>
      <c r="F118" s="130"/>
      <c r="G118" s="61">
        <v>51940.0</v>
      </c>
      <c r="H118" s="94"/>
      <c r="I118" s="51"/>
      <c r="J118" s="49"/>
      <c r="K118" s="49"/>
    </row>
    <row r="119" ht="22.5" customHeight="1">
      <c r="A119" s="37">
        <v>117.0</v>
      </c>
      <c r="B119" s="55" t="s">
        <v>433</v>
      </c>
      <c r="C119" s="55" t="s">
        <v>419</v>
      </c>
      <c r="D119" s="78">
        <v>45802.0</v>
      </c>
      <c r="E119" s="61">
        <v>2557.0</v>
      </c>
      <c r="F119" s="130"/>
      <c r="G119" s="61">
        <v>2557.0</v>
      </c>
      <c r="H119" s="94"/>
      <c r="I119" s="51"/>
      <c r="J119" s="49"/>
      <c r="K119" s="49"/>
    </row>
    <row r="120" ht="22.5" customHeight="1">
      <c r="A120" s="55">
        <v>118.0</v>
      </c>
      <c r="B120" s="55" t="s">
        <v>435</v>
      </c>
      <c r="C120" s="55" t="s">
        <v>436</v>
      </c>
      <c r="D120" s="78">
        <v>45802.0</v>
      </c>
      <c r="E120" s="61">
        <v>397220.0</v>
      </c>
      <c r="F120" s="55">
        <v>36780.0</v>
      </c>
      <c r="G120" s="61">
        <f>E120+F120</f>
        <v>434000</v>
      </c>
      <c r="H120" s="51" t="s">
        <v>438</v>
      </c>
      <c r="I120" s="51"/>
      <c r="J120" s="49"/>
      <c r="K120" s="49"/>
    </row>
    <row r="121" ht="22.5" customHeight="1">
      <c r="A121" s="37">
        <v>119.0</v>
      </c>
      <c r="B121" s="174" t="s">
        <v>53</v>
      </c>
      <c r="C121" s="55"/>
      <c r="D121" s="78">
        <v>45803.0</v>
      </c>
      <c r="E121" s="61">
        <v>225295.0</v>
      </c>
      <c r="F121" s="130"/>
      <c r="G121" s="61"/>
      <c r="H121" s="61">
        <v>225295.0</v>
      </c>
      <c r="I121" s="51"/>
      <c r="J121" s="49"/>
      <c r="K121" s="49"/>
    </row>
    <row r="122" ht="22.5" customHeight="1">
      <c r="A122" s="55">
        <v>120.0</v>
      </c>
      <c r="B122" s="55" t="s">
        <v>170</v>
      </c>
      <c r="C122" s="55" t="s">
        <v>441</v>
      </c>
      <c r="D122" s="78">
        <v>45803.0</v>
      </c>
      <c r="E122" s="61">
        <v>10650.0</v>
      </c>
      <c r="F122" s="130"/>
      <c r="G122" s="61">
        <v>10650.0</v>
      </c>
      <c r="H122" s="51"/>
      <c r="I122" s="51"/>
      <c r="J122" s="49"/>
      <c r="K122" s="49"/>
    </row>
    <row r="123" ht="22.5" customHeight="1">
      <c r="A123" s="37">
        <v>121.0</v>
      </c>
      <c r="B123" s="55" t="s">
        <v>81</v>
      </c>
      <c r="C123" s="55" t="s">
        <v>443</v>
      </c>
      <c r="D123" s="78">
        <v>45803.0</v>
      </c>
      <c r="E123" s="61">
        <v>14000.0</v>
      </c>
      <c r="F123" s="130"/>
      <c r="G123" s="61">
        <v>14000.0</v>
      </c>
      <c r="H123" s="51"/>
      <c r="I123" s="51"/>
      <c r="J123" s="49"/>
      <c r="K123" s="49"/>
    </row>
    <row r="124" ht="22.5" customHeight="1">
      <c r="A124" s="55">
        <v>122.0</v>
      </c>
      <c r="B124" s="55" t="s">
        <v>219</v>
      </c>
      <c r="C124" s="55" t="s">
        <v>445</v>
      </c>
      <c r="D124" s="78">
        <v>45803.0</v>
      </c>
      <c r="E124" s="61">
        <v>8000.0</v>
      </c>
      <c r="F124" s="130"/>
      <c r="G124" s="61">
        <v>8000.0</v>
      </c>
      <c r="H124" s="51"/>
      <c r="I124" s="51"/>
      <c r="J124" s="49"/>
      <c r="K124" s="49"/>
    </row>
    <row r="125" ht="22.5" customHeight="1">
      <c r="A125" s="37">
        <v>123.0</v>
      </c>
      <c r="B125" s="55" t="s">
        <v>356</v>
      </c>
      <c r="C125" s="55" t="s">
        <v>449</v>
      </c>
      <c r="D125" s="78">
        <v>45806.0</v>
      </c>
      <c r="E125" s="61">
        <v>29400.0</v>
      </c>
      <c r="F125" s="55">
        <v>600.0</v>
      </c>
      <c r="G125" s="61">
        <v>29400.0</v>
      </c>
      <c r="H125" s="51"/>
      <c r="I125" s="51"/>
      <c r="J125" s="49"/>
      <c r="K125" s="49"/>
    </row>
    <row r="126" ht="22.5" customHeight="1">
      <c r="A126" s="55">
        <v>124.0</v>
      </c>
      <c r="B126" s="55" t="s">
        <v>450</v>
      </c>
      <c r="C126" s="55" t="s">
        <v>451</v>
      </c>
      <c r="D126" s="78">
        <v>45806.0</v>
      </c>
      <c r="E126" s="61">
        <v>11340.0</v>
      </c>
      <c r="F126" s="130"/>
      <c r="G126" s="61">
        <v>11340.0</v>
      </c>
      <c r="H126" s="51"/>
      <c r="I126" s="51"/>
      <c r="J126" s="49"/>
      <c r="K126" s="49"/>
    </row>
    <row r="127" ht="22.5" customHeight="1">
      <c r="A127" s="37">
        <v>125.0</v>
      </c>
      <c r="B127" s="55" t="s">
        <v>454</v>
      </c>
      <c r="C127" s="55" t="s">
        <v>455</v>
      </c>
      <c r="D127" s="78">
        <v>45807.0</v>
      </c>
      <c r="E127" s="61">
        <v>8850.0</v>
      </c>
      <c r="F127" s="130"/>
      <c r="G127" s="61">
        <v>8850.0</v>
      </c>
      <c r="H127" s="51"/>
      <c r="I127" s="51"/>
      <c r="J127" s="49"/>
      <c r="K127" s="49"/>
    </row>
    <row r="128" ht="22.5" customHeight="1">
      <c r="A128" s="55">
        <v>126.0</v>
      </c>
      <c r="B128" s="55" t="s">
        <v>72</v>
      </c>
      <c r="C128" s="55" t="s">
        <v>458</v>
      </c>
      <c r="D128" s="78">
        <v>45808.0</v>
      </c>
      <c r="E128" s="61">
        <v>45000.0</v>
      </c>
      <c r="F128" s="130"/>
      <c r="G128" s="61">
        <v>45000.0</v>
      </c>
      <c r="H128" s="51"/>
      <c r="I128" s="51"/>
      <c r="J128" s="49"/>
      <c r="K128" s="49"/>
    </row>
    <row r="129" ht="22.5" customHeight="1">
      <c r="A129" s="37">
        <v>127.0</v>
      </c>
      <c r="B129" s="55" t="s">
        <v>461</v>
      </c>
      <c r="C129" s="55" t="s">
        <v>462</v>
      </c>
      <c r="D129" s="78">
        <v>45809.0</v>
      </c>
      <c r="E129" s="61">
        <v>15000.0</v>
      </c>
      <c r="F129" s="130"/>
      <c r="G129" s="61">
        <v>15000.0</v>
      </c>
      <c r="H129" s="51"/>
      <c r="I129" s="51"/>
      <c r="J129" s="49"/>
      <c r="K129" s="49"/>
    </row>
    <row r="130" ht="22.5" customHeight="1">
      <c r="A130" s="55">
        <v>128.0</v>
      </c>
      <c r="B130" s="55" t="s">
        <v>72</v>
      </c>
      <c r="C130" s="55" t="s">
        <v>458</v>
      </c>
      <c r="D130" s="78">
        <v>45809.0</v>
      </c>
      <c r="E130" s="61">
        <v>50000.0</v>
      </c>
      <c r="F130" s="130"/>
      <c r="G130" s="61">
        <v>50000.0</v>
      </c>
      <c r="H130" s="51"/>
      <c r="I130" s="51"/>
      <c r="J130" s="49"/>
      <c r="K130" s="49"/>
    </row>
    <row r="131" ht="22.5" customHeight="1">
      <c r="A131" s="37">
        <v>129.0</v>
      </c>
      <c r="B131" s="55" t="s">
        <v>466</v>
      </c>
      <c r="C131" s="55" t="s">
        <v>467</v>
      </c>
      <c r="D131" s="78">
        <v>45809.0</v>
      </c>
      <c r="E131" s="61">
        <v>20000.0</v>
      </c>
      <c r="F131" s="130"/>
      <c r="G131" s="61">
        <v>20000.0</v>
      </c>
      <c r="H131" s="51"/>
      <c r="I131" s="51"/>
      <c r="J131" s="49"/>
      <c r="K131" s="49"/>
    </row>
    <row r="132" ht="22.5" customHeight="1">
      <c r="A132" s="55">
        <v>130.0</v>
      </c>
      <c r="B132" s="55" t="s">
        <v>88</v>
      </c>
      <c r="C132" s="55" t="s">
        <v>469</v>
      </c>
      <c r="D132" s="78">
        <v>45809.0</v>
      </c>
      <c r="E132" s="61">
        <v>20000.0</v>
      </c>
      <c r="F132" s="130"/>
      <c r="G132" s="61">
        <v>20000.0</v>
      </c>
      <c r="H132" s="51"/>
      <c r="I132" s="51"/>
      <c r="J132" s="49"/>
      <c r="K132" s="49"/>
    </row>
    <row r="133" ht="22.5" customHeight="1">
      <c r="A133" s="37">
        <v>131.0</v>
      </c>
      <c r="B133" s="55" t="s">
        <v>142</v>
      </c>
      <c r="C133" s="55" t="s">
        <v>471</v>
      </c>
      <c r="D133" s="78">
        <v>45809.0</v>
      </c>
      <c r="E133" s="61">
        <v>40000.0</v>
      </c>
      <c r="F133" s="130"/>
      <c r="G133" s="61">
        <v>40000.0</v>
      </c>
      <c r="H133" s="51"/>
      <c r="I133" s="51"/>
      <c r="J133" s="49"/>
      <c r="K133" s="49"/>
    </row>
    <row r="134" ht="22.5" customHeight="1">
      <c r="A134" s="55">
        <v>132.0</v>
      </c>
      <c r="B134" s="55" t="s">
        <v>472</v>
      </c>
      <c r="C134" s="55" t="s">
        <v>473</v>
      </c>
      <c r="D134" s="78">
        <v>45809.0</v>
      </c>
      <c r="E134" s="61">
        <v>13499.0</v>
      </c>
      <c r="F134" s="130"/>
      <c r="G134" s="61">
        <v>13499.0</v>
      </c>
      <c r="H134" s="51"/>
      <c r="I134" s="51"/>
      <c r="J134" s="49"/>
      <c r="K134" s="49"/>
    </row>
    <row r="135" ht="22.5" customHeight="1">
      <c r="A135" s="37">
        <v>133.0</v>
      </c>
      <c r="B135" s="55" t="s">
        <v>466</v>
      </c>
      <c r="C135" s="55" t="s">
        <v>475</v>
      </c>
      <c r="D135" s="78">
        <v>45810.0</v>
      </c>
      <c r="E135" s="61">
        <v>20000.0</v>
      </c>
      <c r="F135" s="130"/>
      <c r="G135" s="61">
        <v>20000.0</v>
      </c>
      <c r="H135" s="51"/>
      <c r="I135" s="51"/>
      <c r="J135" s="49"/>
      <c r="K135" s="49"/>
    </row>
    <row r="136" ht="22.5" customHeight="1">
      <c r="A136" s="55">
        <v>134.0</v>
      </c>
      <c r="B136" s="55" t="s">
        <v>225</v>
      </c>
      <c r="C136" s="55" t="s">
        <v>477</v>
      </c>
      <c r="D136" s="78">
        <v>45810.0</v>
      </c>
      <c r="E136" s="61">
        <v>25000.0</v>
      </c>
      <c r="F136" s="130"/>
      <c r="G136" s="61">
        <v>25000.0</v>
      </c>
      <c r="H136" s="51"/>
      <c r="I136" s="51"/>
      <c r="J136" s="49"/>
      <c r="K136" s="49"/>
    </row>
    <row r="137" ht="22.5" customHeight="1">
      <c r="A137" s="37">
        <v>135.0</v>
      </c>
      <c r="B137" s="55" t="s">
        <v>225</v>
      </c>
      <c r="C137" s="55" t="s">
        <v>477</v>
      </c>
      <c r="D137" s="78">
        <v>45811.0</v>
      </c>
      <c r="E137" s="61">
        <v>17000.0</v>
      </c>
      <c r="F137" s="130"/>
      <c r="G137" s="61">
        <v>17000.0</v>
      </c>
      <c r="H137" s="51"/>
      <c r="I137" s="51"/>
      <c r="J137" s="49"/>
      <c r="K137" s="49"/>
    </row>
    <row r="138" ht="22.5" customHeight="1">
      <c r="A138" s="55">
        <v>136.0</v>
      </c>
      <c r="B138" s="55" t="s">
        <v>142</v>
      </c>
      <c r="C138" s="55" t="s">
        <v>480</v>
      </c>
      <c r="D138" s="78">
        <v>45811.0</v>
      </c>
      <c r="E138" s="61">
        <v>86130.0</v>
      </c>
      <c r="F138" s="130"/>
      <c r="G138" s="61">
        <v>87000.0</v>
      </c>
      <c r="H138" s="94"/>
      <c r="I138" s="51"/>
      <c r="J138" s="49"/>
      <c r="K138" s="49"/>
    </row>
    <row r="139" ht="22.5" customHeight="1">
      <c r="A139" s="37">
        <v>137.0</v>
      </c>
      <c r="B139" s="55" t="s">
        <v>401</v>
      </c>
      <c r="C139" s="55" t="s">
        <v>481</v>
      </c>
      <c r="D139" s="78">
        <v>45811.0</v>
      </c>
      <c r="E139" s="61">
        <v>13102.0</v>
      </c>
      <c r="F139" s="130"/>
      <c r="G139" s="61">
        <v>13102.0</v>
      </c>
      <c r="H139" s="94"/>
      <c r="I139" s="51"/>
      <c r="J139" s="49"/>
      <c r="K139" s="49"/>
    </row>
    <row r="140" ht="22.5" customHeight="1">
      <c r="A140" s="55">
        <v>138.0</v>
      </c>
      <c r="B140" s="55" t="s">
        <v>482</v>
      </c>
      <c r="C140" s="55" t="s">
        <v>481</v>
      </c>
      <c r="D140" s="78">
        <v>45811.0</v>
      </c>
      <c r="E140" s="61">
        <v>11500.0</v>
      </c>
      <c r="F140" s="130"/>
      <c r="G140" s="61">
        <v>11500.0</v>
      </c>
      <c r="H140" s="94"/>
      <c r="I140" s="51"/>
      <c r="J140" s="49"/>
      <c r="K140" s="49"/>
    </row>
    <row r="141" ht="22.5" customHeight="1">
      <c r="A141" s="37">
        <v>139.0</v>
      </c>
      <c r="B141" s="55" t="s">
        <v>485</v>
      </c>
      <c r="C141" s="55" t="s">
        <v>486</v>
      </c>
      <c r="D141" s="78">
        <v>45811.0</v>
      </c>
      <c r="E141" s="61">
        <v>6000.0</v>
      </c>
      <c r="F141" s="130"/>
      <c r="G141" s="61">
        <v>6000.0</v>
      </c>
      <c r="H141" s="94"/>
      <c r="I141" s="51"/>
      <c r="J141" s="49"/>
      <c r="K141" s="49"/>
    </row>
    <row r="142" ht="22.5" customHeight="1">
      <c r="A142" s="55">
        <v>140.0</v>
      </c>
      <c r="B142" s="55" t="s">
        <v>487</v>
      </c>
      <c r="C142" s="55" t="s">
        <v>488</v>
      </c>
      <c r="D142" s="78">
        <v>45811.0</v>
      </c>
      <c r="E142" s="61">
        <v>31610.0</v>
      </c>
      <c r="F142" s="130"/>
      <c r="G142" s="61">
        <v>31610.0</v>
      </c>
      <c r="H142" s="94"/>
      <c r="I142" s="51"/>
      <c r="J142" s="49"/>
      <c r="K142" s="49"/>
    </row>
    <row r="143" ht="22.5" customHeight="1">
      <c r="A143" s="37">
        <v>141.0</v>
      </c>
      <c r="B143" s="55" t="s">
        <v>490</v>
      </c>
      <c r="C143" s="55" t="s">
        <v>491</v>
      </c>
      <c r="D143" s="78">
        <v>45811.0</v>
      </c>
      <c r="E143" s="61">
        <v>54000.0</v>
      </c>
      <c r="F143" s="55">
        <v>5000.0</v>
      </c>
      <c r="G143" s="61">
        <v>59000.0</v>
      </c>
      <c r="H143" s="51" t="s">
        <v>493</v>
      </c>
      <c r="I143" s="51"/>
      <c r="J143" s="49"/>
      <c r="K143" s="49"/>
    </row>
    <row r="144" ht="22.5" customHeight="1">
      <c r="A144" s="55">
        <v>142.0</v>
      </c>
      <c r="B144" s="55" t="s">
        <v>494</v>
      </c>
      <c r="C144" s="55" t="s">
        <v>495</v>
      </c>
      <c r="D144" s="78">
        <v>45811.0</v>
      </c>
      <c r="E144" s="61">
        <v>23233.0</v>
      </c>
      <c r="F144" s="130"/>
      <c r="G144" s="61">
        <v>23233.0</v>
      </c>
      <c r="H144" s="94"/>
      <c r="I144" s="51"/>
      <c r="J144" s="49"/>
      <c r="K144" s="49"/>
    </row>
    <row r="145" ht="22.5" customHeight="1">
      <c r="A145" s="37">
        <v>143.0</v>
      </c>
      <c r="B145" s="55" t="s">
        <v>496</v>
      </c>
      <c r="C145" s="55" t="s">
        <v>497</v>
      </c>
      <c r="D145" s="78">
        <v>45811.0</v>
      </c>
      <c r="E145" s="61">
        <v>5000.0</v>
      </c>
      <c r="F145" s="130"/>
      <c r="G145" s="61">
        <v>5000.0</v>
      </c>
      <c r="H145" s="94"/>
      <c r="I145" s="51"/>
      <c r="J145" s="49"/>
      <c r="K145" s="49"/>
    </row>
    <row r="146" ht="22.5" customHeight="1">
      <c r="A146" s="55">
        <v>144.0</v>
      </c>
      <c r="B146" s="55" t="s">
        <v>499</v>
      </c>
      <c r="C146" s="55" t="s">
        <v>500</v>
      </c>
      <c r="D146" s="78">
        <v>45811.0</v>
      </c>
      <c r="E146" s="61">
        <v>5000.0</v>
      </c>
      <c r="F146" s="130"/>
      <c r="G146" s="61">
        <v>5000.0</v>
      </c>
      <c r="H146" s="94"/>
      <c r="I146" s="51"/>
      <c r="J146" s="49"/>
      <c r="K146" s="49"/>
    </row>
    <row r="147" ht="22.5" customHeight="1">
      <c r="A147" s="37">
        <v>145.0</v>
      </c>
      <c r="B147" s="55" t="s">
        <v>72</v>
      </c>
      <c r="C147" s="55"/>
      <c r="D147" s="78">
        <v>45812.0</v>
      </c>
      <c r="E147" s="61">
        <v>25000.0</v>
      </c>
      <c r="F147" s="55"/>
      <c r="G147" s="61">
        <f t="shared" ref="G147:G149" si="1">E147+F147</f>
        <v>25000</v>
      </c>
      <c r="H147" s="94"/>
      <c r="I147" s="51"/>
      <c r="J147" s="49"/>
      <c r="K147" s="49"/>
    </row>
    <row r="148" ht="22.5" customHeight="1">
      <c r="A148" s="55">
        <v>146.0</v>
      </c>
      <c r="B148" s="55" t="s">
        <v>318</v>
      </c>
      <c r="C148" s="55"/>
      <c r="D148" s="78">
        <v>45813.0</v>
      </c>
      <c r="E148" s="61">
        <v>9993.0</v>
      </c>
      <c r="F148" s="55"/>
      <c r="G148" s="61">
        <f t="shared" si="1"/>
        <v>9993</v>
      </c>
      <c r="H148" s="94"/>
      <c r="I148" s="51"/>
      <c r="J148" s="49"/>
      <c r="K148" s="49"/>
    </row>
    <row r="149" ht="22.5" customHeight="1">
      <c r="A149" s="37">
        <v>147.0</v>
      </c>
      <c r="B149" s="55" t="s">
        <v>506</v>
      </c>
      <c r="C149" s="55"/>
      <c r="D149" s="78">
        <v>45813.0</v>
      </c>
      <c r="E149" s="61">
        <v>20000.0</v>
      </c>
      <c r="F149" s="55"/>
      <c r="G149" s="61">
        <f t="shared" si="1"/>
        <v>20000</v>
      </c>
      <c r="H149" s="94"/>
      <c r="I149" s="51"/>
      <c r="J149" s="49"/>
      <c r="K149" s="49"/>
    </row>
    <row r="150" ht="22.5" customHeight="1">
      <c r="A150" s="55">
        <v>148.0</v>
      </c>
      <c r="B150" s="55" t="s">
        <v>118</v>
      </c>
      <c r="C150" s="55" t="s">
        <v>409</v>
      </c>
      <c r="D150" s="78">
        <v>45816.0</v>
      </c>
      <c r="E150" s="61">
        <v>447.0</v>
      </c>
      <c r="F150" s="55">
        <v>0.0</v>
      </c>
      <c r="G150" s="61">
        <v>447.0</v>
      </c>
      <c r="H150" s="94"/>
      <c r="I150" s="51"/>
      <c r="J150" s="49"/>
      <c r="K150" s="49"/>
    </row>
    <row r="151" ht="22.5" customHeight="1">
      <c r="A151" s="37">
        <v>149.0</v>
      </c>
      <c r="B151" s="55" t="s">
        <v>508</v>
      </c>
      <c r="C151" s="55" t="s">
        <v>509</v>
      </c>
      <c r="D151" s="78">
        <v>45817.0</v>
      </c>
      <c r="E151" s="61">
        <v>83607.0</v>
      </c>
      <c r="F151" s="130"/>
      <c r="G151" s="61">
        <v>83607.0</v>
      </c>
      <c r="H151" s="51" t="s">
        <v>510</v>
      </c>
      <c r="I151" s="51"/>
      <c r="J151" s="49"/>
      <c r="K151" s="49"/>
    </row>
    <row r="152" ht="22.5" customHeight="1">
      <c r="A152" s="55">
        <v>150.0</v>
      </c>
      <c r="B152" s="55" t="s">
        <v>511</v>
      </c>
      <c r="C152" s="55" t="s">
        <v>512</v>
      </c>
      <c r="D152" s="78">
        <v>45817.0</v>
      </c>
      <c r="E152" s="61">
        <v>6500.0</v>
      </c>
      <c r="F152" s="130"/>
      <c r="G152" s="61">
        <v>6500.0</v>
      </c>
      <c r="H152" s="94"/>
      <c r="I152" s="51"/>
      <c r="J152" s="49"/>
      <c r="K152" s="49"/>
    </row>
    <row r="153" ht="22.5" customHeight="1">
      <c r="A153" s="37">
        <v>151.0</v>
      </c>
      <c r="B153" s="55" t="s">
        <v>513</v>
      </c>
      <c r="C153" s="55" t="s">
        <v>514</v>
      </c>
      <c r="D153" s="78">
        <v>45817.0</v>
      </c>
      <c r="E153" s="61">
        <v>25000.0</v>
      </c>
      <c r="F153" s="130"/>
      <c r="G153" s="61">
        <v>25000.0</v>
      </c>
      <c r="H153" s="94"/>
      <c r="I153" s="51"/>
      <c r="J153" s="49"/>
      <c r="K153" s="49"/>
    </row>
    <row r="154" ht="22.5" customHeight="1">
      <c r="A154" s="55">
        <v>152.0</v>
      </c>
      <c r="B154" s="55" t="s">
        <v>515</v>
      </c>
      <c r="C154" s="55" t="s">
        <v>419</v>
      </c>
      <c r="D154" s="78">
        <v>45817.0</v>
      </c>
      <c r="E154" s="61">
        <v>1058.0</v>
      </c>
      <c r="F154" s="130"/>
      <c r="G154" s="61">
        <v>1058.0</v>
      </c>
      <c r="H154" s="94"/>
      <c r="I154" s="51"/>
      <c r="J154" s="49"/>
      <c r="K154" s="49"/>
    </row>
    <row r="155" ht="22.5" customHeight="1">
      <c r="A155" s="37">
        <v>153.0</v>
      </c>
      <c r="B155" s="55" t="s">
        <v>516</v>
      </c>
      <c r="C155" s="55" t="s">
        <v>517</v>
      </c>
      <c r="D155" s="78">
        <v>45817.0</v>
      </c>
      <c r="E155" s="61">
        <v>40000.0</v>
      </c>
      <c r="F155" s="130"/>
      <c r="G155" s="61">
        <v>40000.0</v>
      </c>
      <c r="H155" s="94"/>
      <c r="I155" s="51"/>
      <c r="J155" s="49"/>
      <c r="K155" s="49"/>
    </row>
    <row r="156" ht="22.5" customHeight="1">
      <c r="A156" s="55">
        <v>154.0</v>
      </c>
      <c r="B156" s="55" t="s">
        <v>518</v>
      </c>
      <c r="C156" s="55" t="s">
        <v>519</v>
      </c>
      <c r="D156" s="78">
        <v>45817.0</v>
      </c>
      <c r="E156" s="61">
        <v>12000.0</v>
      </c>
      <c r="F156" s="130"/>
      <c r="G156" s="61">
        <v>12000.0</v>
      </c>
      <c r="H156" s="94"/>
      <c r="I156" s="51"/>
      <c r="J156" s="49"/>
      <c r="K156" s="49"/>
    </row>
    <row r="157" ht="22.5" customHeight="1">
      <c r="A157" s="37">
        <v>155.0</v>
      </c>
      <c r="B157" s="55" t="s">
        <v>520</v>
      </c>
      <c r="C157" s="55" t="s">
        <v>521</v>
      </c>
      <c r="D157" s="78">
        <v>45817.0</v>
      </c>
      <c r="E157" s="61">
        <v>20437.0</v>
      </c>
      <c r="F157" s="130"/>
      <c r="G157" s="61">
        <v>20437.0</v>
      </c>
      <c r="H157" s="94"/>
      <c r="I157" s="51"/>
      <c r="J157" s="49"/>
      <c r="K157" s="49"/>
    </row>
    <row r="158" ht="22.5" customHeight="1">
      <c r="A158" s="55">
        <v>156.0</v>
      </c>
      <c r="B158" s="55" t="s">
        <v>522</v>
      </c>
      <c r="C158" s="55" t="s">
        <v>523</v>
      </c>
      <c r="D158" s="78">
        <v>45817.0</v>
      </c>
      <c r="E158" s="61">
        <v>12521.0</v>
      </c>
      <c r="F158" s="130"/>
      <c r="G158" s="61">
        <v>12521.0</v>
      </c>
      <c r="H158" s="94"/>
      <c r="I158" s="51"/>
      <c r="J158" s="49"/>
      <c r="K158" s="49"/>
    </row>
    <row r="159" ht="22.5" customHeight="1">
      <c r="A159" s="37">
        <v>157.0</v>
      </c>
      <c r="B159" s="55" t="s">
        <v>524</v>
      </c>
      <c r="C159" s="55" t="s">
        <v>523</v>
      </c>
      <c r="D159" s="78">
        <v>45817.0</v>
      </c>
      <c r="E159" s="61">
        <v>12263.0</v>
      </c>
      <c r="F159" s="130"/>
      <c r="G159" s="61">
        <v>12263.0</v>
      </c>
      <c r="H159" s="94"/>
      <c r="I159" s="51"/>
      <c r="J159" s="49"/>
      <c r="K159" s="49"/>
    </row>
    <row r="160" ht="22.5" customHeight="1">
      <c r="A160" s="55">
        <v>158.0</v>
      </c>
      <c r="B160" s="55" t="s">
        <v>525</v>
      </c>
      <c r="C160" s="55" t="s">
        <v>526</v>
      </c>
      <c r="D160" s="78">
        <v>45817.0</v>
      </c>
      <c r="E160" s="61">
        <v>31000.0</v>
      </c>
      <c r="F160" s="130"/>
      <c r="G160" s="61">
        <v>31000.0</v>
      </c>
      <c r="H160" s="94"/>
      <c r="I160" s="51"/>
      <c r="J160" s="49"/>
      <c r="K160" s="49"/>
    </row>
    <row r="161" ht="22.5" customHeight="1">
      <c r="A161" s="37">
        <v>159.0</v>
      </c>
      <c r="B161" s="55" t="s">
        <v>219</v>
      </c>
      <c r="C161" s="55" t="s">
        <v>527</v>
      </c>
      <c r="D161" s="78">
        <v>45819.0</v>
      </c>
      <c r="E161" s="61">
        <v>12000.0</v>
      </c>
      <c r="F161" s="130"/>
      <c r="G161" s="61">
        <v>12000.0</v>
      </c>
      <c r="H161" s="94"/>
      <c r="I161" s="51"/>
      <c r="J161" s="49"/>
      <c r="K161" s="49"/>
    </row>
    <row r="162" ht="22.5" customHeight="1">
      <c r="A162" s="55">
        <v>160.0</v>
      </c>
      <c r="B162" s="55" t="s">
        <v>528</v>
      </c>
      <c r="C162" s="55" t="s">
        <v>529</v>
      </c>
      <c r="D162" s="78">
        <v>45819.0</v>
      </c>
      <c r="E162" s="61">
        <v>10000.0</v>
      </c>
      <c r="F162" s="130"/>
      <c r="G162" s="61">
        <v>10000.0</v>
      </c>
      <c r="H162" s="94"/>
      <c r="I162" s="51"/>
      <c r="J162" s="49"/>
      <c r="K162" s="49"/>
    </row>
    <row r="163" ht="22.5" customHeight="1">
      <c r="A163" s="37">
        <v>161.0</v>
      </c>
      <c r="B163" s="55" t="s">
        <v>530</v>
      </c>
      <c r="C163" s="55" t="s">
        <v>531</v>
      </c>
      <c r="D163" s="78">
        <v>45819.0</v>
      </c>
      <c r="E163" s="61">
        <v>15340.0</v>
      </c>
      <c r="F163" s="130"/>
      <c r="G163" s="61">
        <v>15340.0</v>
      </c>
      <c r="H163" s="94"/>
      <c r="I163" s="51"/>
      <c r="J163" s="49"/>
      <c r="K163" s="49"/>
    </row>
    <row r="164" ht="22.5" customHeight="1">
      <c r="A164" s="55">
        <v>162.0</v>
      </c>
      <c r="B164" s="55" t="s">
        <v>532</v>
      </c>
      <c r="C164" s="55" t="s">
        <v>409</v>
      </c>
      <c r="D164" s="78">
        <v>45820.0</v>
      </c>
      <c r="E164" s="61">
        <v>1781.0</v>
      </c>
      <c r="F164" s="130"/>
      <c r="G164" s="61">
        <v>1781.0</v>
      </c>
      <c r="H164" s="94"/>
      <c r="I164" s="51"/>
      <c r="J164" s="49"/>
      <c r="K164" s="49"/>
    </row>
    <row r="165" ht="22.5" customHeight="1">
      <c r="A165" s="37">
        <v>163.0</v>
      </c>
      <c r="B165" s="55" t="s">
        <v>533</v>
      </c>
      <c r="C165" s="55" t="s">
        <v>534</v>
      </c>
      <c r="D165" s="78">
        <v>45820.0</v>
      </c>
      <c r="E165" s="61">
        <v>5870.0</v>
      </c>
      <c r="F165" s="130"/>
      <c r="G165" s="61">
        <v>5870.0</v>
      </c>
      <c r="H165" s="94"/>
      <c r="I165" s="51"/>
      <c r="J165" s="49"/>
      <c r="K165" s="49"/>
    </row>
    <row r="166" ht="22.5" customHeight="1">
      <c r="A166" s="55">
        <v>164.0</v>
      </c>
      <c r="B166" s="55" t="s">
        <v>535</v>
      </c>
      <c r="C166" s="55" t="s">
        <v>534</v>
      </c>
      <c r="D166" s="78">
        <v>45820.0</v>
      </c>
      <c r="E166" s="61">
        <v>4920.0</v>
      </c>
      <c r="F166" s="130"/>
      <c r="G166" s="61">
        <v>4920.0</v>
      </c>
      <c r="H166" s="94"/>
      <c r="I166" s="51"/>
      <c r="J166" s="49"/>
      <c r="K166" s="49"/>
    </row>
    <row r="167" ht="22.5" customHeight="1">
      <c r="A167" s="37">
        <v>165.0</v>
      </c>
      <c r="B167" s="55" t="s">
        <v>72</v>
      </c>
      <c r="C167" s="55" t="s">
        <v>536</v>
      </c>
      <c r="D167" s="78">
        <v>45820.0</v>
      </c>
      <c r="E167" s="61">
        <v>40000.0</v>
      </c>
      <c r="F167" s="130"/>
      <c r="G167" s="61">
        <v>40000.0</v>
      </c>
      <c r="H167" s="94"/>
      <c r="I167" s="51"/>
      <c r="J167" s="49"/>
      <c r="K167" s="49"/>
    </row>
    <row r="168" ht="22.5" customHeight="1">
      <c r="A168" s="55">
        <v>166.0</v>
      </c>
      <c r="B168" s="55" t="s">
        <v>142</v>
      </c>
      <c r="C168" s="55" t="s">
        <v>537</v>
      </c>
      <c r="D168" s="78">
        <v>45820.0</v>
      </c>
      <c r="E168" s="61">
        <v>30000.0</v>
      </c>
      <c r="F168" s="130"/>
      <c r="G168" s="61">
        <v>30000.0</v>
      </c>
      <c r="H168" s="94"/>
      <c r="I168" s="51"/>
      <c r="J168" s="49"/>
      <c r="K168" s="49"/>
    </row>
    <row r="169" ht="22.5" customHeight="1">
      <c r="A169" s="37">
        <v>167.0</v>
      </c>
      <c r="B169" s="55" t="s">
        <v>538</v>
      </c>
      <c r="C169" s="55" t="s">
        <v>539</v>
      </c>
      <c r="D169" s="78">
        <v>45820.0</v>
      </c>
      <c r="E169" s="61">
        <v>7080.0</v>
      </c>
      <c r="F169" s="130"/>
      <c r="G169" s="61">
        <v>7080.0</v>
      </c>
      <c r="H169" s="94"/>
      <c r="I169" s="51"/>
      <c r="J169" s="49"/>
      <c r="K169" s="49"/>
    </row>
    <row r="170" ht="22.5" customHeight="1">
      <c r="A170" s="55">
        <v>168.0</v>
      </c>
      <c r="B170" s="55" t="s">
        <v>225</v>
      </c>
      <c r="C170" s="55" t="s">
        <v>540</v>
      </c>
      <c r="D170" s="78">
        <v>45822.0</v>
      </c>
      <c r="E170" s="61">
        <v>44000.0</v>
      </c>
      <c r="F170" s="130"/>
      <c r="G170" s="61">
        <v>44000.0</v>
      </c>
      <c r="H170" s="94"/>
      <c r="I170" s="51"/>
      <c r="J170" s="49"/>
      <c r="K170" s="49"/>
    </row>
    <row r="171" ht="22.5" customHeight="1">
      <c r="A171" s="37">
        <v>169.0</v>
      </c>
      <c r="B171" s="55" t="s">
        <v>541</v>
      </c>
      <c r="C171" s="55" t="s">
        <v>542</v>
      </c>
      <c r="D171" s="78">
        <v>45822.0</v>
      </c>
      <c r="E171" s="61">
        <v>19182.0</v>
      </c>
      <c r="F171" s="130"/>
      <c r="G171" s="61">
        <v>19182.0</v>
      </c>
      <c r="H171" s="94"/>
      <c r="I171" s="51"/>
      <c r="J171" s="49"/>
      <c r="K171" s="49"/>
    </row>
    <row r="172" ht="22.5" customHeight="1">
      <c r="A172" s="55">
        <v>170.0</v>
      </c>
      <c r="B172" s="55" t="s">
        <v>541</v>
      </c>
      <c r="C172" s="55" t="s">
        <v>543</v>
      </c>
      <c r="D172" s="78">
        <v>45822.0</v>
      </c>
      <c r="E172" s="61">
        <v>12033.0</v>
      </c>
      <c r="F172" s="130"/>
      <c r="G172" s="61">
        <v>12033.0</v>
      </c>
      <c r="H172" s="94"/>
      <c r="I172" s="51"/>
      <c r="J172" s="49"/>
      <c r="K172" s="49"/>
    </row>
    <row r="173" ht="22.5" customHeight="1">
      <c r="A173" s="37">
        <v>171.0</v>
      </c>
      <c r="B173" s="55" t="s">
        <v>544</v>
      </c>
      <c r="C173" s="55" t="s">
        <v>545</v>
      </c>
      <c r="D173" s="78">
        <v>45825.0</v>
      </c>
      <c r="E173" s="61">
        <v>28000.0</v>
      </c>
      <c r="F173" s="130"/>
      <c r="G173" s="61">
        <v>28000.0</v>
      </c>
      <c r="H173" s="94"/>
      <c r="I173" s="51"/>
      <c r="J173" s="49"/>
      <c r="K173" s="49"/>
    </row>
    <row r="174" ht="22.5" customHeight="1">
      <c r="A174" s="55">
        <v>172.0</v>
      </c>
      <c r="B174" s="55" t="s">
        <v>546</v>
      </c>
      <c r="C174" s="55" t="s">
        <v>547</v>
      </c>
      <c r="D174" s="78">
        <v>45825.0</v>
      </c>
      <c r="E174" s="61">
        <v>20000.0</v>
      </c>
      <c r="F174" s="130"/>
      <c r="G174" s="61">
        <v>20000.0</v>
      </c>
      <c r="H174" s="94"/>
      <c r="I174" s="51"/>
      <c r="J174" s="49"/>
      <c r="K174" s="49"/>
    </row>
    <row r="175" ht="22.5" customHeight="1">
      <c r="A175" s="37">
        <v>173.0</v>
      </c>
      <c r="B175" s="55" t="s">
        <v>461</v>
      </c>
      <c r="C175" s="55" t="s">
        <v>548</v>
      </c>
      <c r="D175" s="78">
        <v>45825.0</v>
      </c>
      <c r="E175" s="61">
        <v>25348.0</v>
      </c>
      <c r="F175" s="130"/>
      <c r="G175" s="61">
        <v>25348.0</v>
      </c>
      <c r="H175" s="94"/>
      <c r="I175" s="51"/>
      <c r="J175" s="49"/>
      <c r="K175" s="49"/>
    </row>
    <row r="176" ht="22.5" customHeight="1">
      <c r="A176" s="55">
        <v>174.0</v>
      </c>
      <c r="B176" s="55" t="s">
        <v>272</v>
      </c>
      <c r="C176" s="55" t="s">
        <v>409</v>
      </c>
      <c r="D176" s="78">
        <v>45826.0</v>
      </c>
      <c r="E176" s="61">
        <v>2969.0</v>
      </c>
      <c r="F176" s="130"/>
      <c r="G176" s="61">
        <v>2969.0</v>
      </c>
      <c r="H176" s="94"/>
      <c r="I176" s="51"/>
      <c r="J176" s="49"/>
      <c r="K176" s="49"/>
    </row>
    <row r="177" ht="22.5" customHeight="1">
      <c r="A177" s="37">
        <v>175.0</v>
      </c>
      <c r="B177" s="55" t="s">
        <v>275</v>
      </c>
      <c r="C177" s="55" t="s">
        <v>409</v>
      </c>
      <c r="D177" s="78">
        <v>45826.0</v>
      </c>
      <c r="E177" s="61">
        <v>2609.0</v>
      </c>
      <c r="F177" s="130"/>
      <c r="G177" s="61">
        <v>2609.0</v>
      </c>
      <c r="H177" s="94"/>
      <c r="I177" s="51"/>
      <c r="J177" s="49"/>
      <c r="K177" s="49"/>
    </row>
    <row r="178" ht="22.5" customHeight="1">
      <c r="A178" s="55">
        <v>176.0</v>
      </c>
      <c r="B178" s="55" t="s">
        <v>549</v>
      </c>
      <c r="C178" s="55" t="s">
        <v>409</v>
      </c>
      <c r="D178" s="78">
        <v>45826.0</v>
      </c>
      <c r="E178" s="61">
        <v>119000.0</v>
      </c>
      <c r="F178" s="130"/>
      <c r="G178" s="61">
        <v>119000.0</v>
      </c>
      <c r="H178" s="94"/>
      <c r="I178" s="51"/>
      <c r="J178" s="49"/>
      <c r="K178" s="49"/>
    </row>
    <row r="179" ht="22.5" customHeight="1">
      <c r="A179" s="37">
        <v>177.0</v>
      </c>
      <c r="B179" s="55" t="s">
        <v>353</v>
      </c>
      <c r="C179" s="55" t="s">
        <v>409</v>
      </c>
      <c r="D179" s="78">
        <v>45826.0</v>
      </c>
      <c r="E179" s="61">
        <v>10799.0</v>
      </c>
      <c r="F179" s="130"/>
      <c r="G179" s="61">
        <v>10799.0</v>
      </c>
      <c r="H179" s="94"/>
      <c r="I179" s="51"/>
      <c r="J179" s="49"/>
      <c r="K179" s="49"/>
    </row>
    <row r="180" ht="22.5" customHeight="1">
      <c r="A180" s="55">
        <v>178.0</v>
      </c>
      <c r="B180" s="174" t="s">
        <v>53</v>
      </c>
      <c r="C180" s="174"/>
      <c r="D180" s="175">
        <v>45829.0</v>
      </c>
      <c r="E180" s="176">
        <v>836624.0</v>
      </c>
      <c r="F180" s="174"/>
      <c r="G180" s="176">
        <v>836624.0</v>
      </c>
      <c r="H180" s="176"/>
      <c r="I180" s="51"/>
      <c r="J180" s="49"/>
      <c r="K180" s="49"/>
    </row>
    <row r="181" ht="22.5" customHeight="1">
      <c r="A181" s="37">
        <v>179.0</v>
      </c>
      <c r="B181" s="55" t="s">
        <v>142</v>
      </c>
      <c r="C181" s="55" t="s">
        <v>550</v>
      </c>
      <c r="D181" s="78">
        <v>45829.0</v>
      </c>
      <c r="E181" s="61">
        <v>98000.0</v>
      </c>
      <c r="F181" s="55">
        <v>2000.0</v>
      </c>
      <c r="G181" s="61">
        <v>100000.0</v>
      </c>
      <c r="H181" s="94"/>
      <c r="I181" s="51"/>
      <c r="J181" s="49"/>
      <c r="K181" s="49"/>
    </row>
    <row r="182" ht="22.5" customHeight="1">
      <c r="A182" s="55">
        <v>180.0</v>
      </c>
      <c r="B182" s="55" t="s">
        <v>284</v>
      </c>
      <c r="C182" s="55" t="s">
        <v>551</v>
      </c>
      <c r="D182" s="78">
        <v>45829.0</v>
      </c>
      <c r="E182" s="61">
        <v>10636.0</v>
      </c>
      <c r="F182" s="55">
        <v>0.0</v>
      </c>
      <c r="G182" s="61">
        <v>10636.0</v>
      </c>
      <c r="H182" s="94"/>
      <c r="I182" s="51"/>
      <c r="J182" s="49"/>
      <c r="K182" s="49"/>
    </row>
    <row r="183" ht="22.5" customHeight="1">
      <c r="A183" s="37">
        <v>181.0</v>
      </c>
      <c r="B183" s="55" t="s">
        <v>552</v>
      </c>
      <c r="C183" s="55"/>
      <c r="D183" s="78">
        <v>45829.0</v>
      </c>
      <c r="E183" s="61">
        <v>13000.0</v>
      </c>
      <c r="F183" s="130"/>
      <c r="G183" s="61">
        <v>13000.0</v>
      </c>
      <c r="H183" s="94"/>
      <c r="I183" s="51"/>
      <c r="J183" s="49"/>
      <c r="K183" s="49"/>
    </row>
    <row r="184" ht="22.5" customHeight="1">
      <c r="A184" s="55">
        <v>182.0</v>
      </c>
      <c r="B184" s="55" t="s">
        <v>88</v>
      </c>
      <c r="C184" s="55" t="s">
        <v>215</v>
      </c>
      <c r="D184" s="78">
        <v>45829.0</v>
      </c>
      <c r="E184" s="61">
        <v>15500.0</v>
      </c>
      <c r="F184" s="130"/>
      <c r="G184" s="61">
        <v>15500.0</v>
      </c>
      <c r="H184" s="94"/>
      <c r="I184" s="51"/>
      <c r="J184" s="49"/>
      <c r="K184" s="49"/>
    </row>
    <row r="185" ht="22.5" customHeight="1">
      <c r="A185" s="37">
        <v>183.0</v>
      </c>
      <c r="B185" s="55" t="s">
        <v>91</v>
      </c>
      <c r="C185" s="55" t="s">
        <v>553</v>
      </c>
      <c r="D185" s="78">
        <v>45829.0</v>
      </c>
      <c r="E185" s="61">
        <v>2074.0</v>
      </c>
      <c r="F185" s="130"/>
      <c r="G185" s="61">
        <v>2074.0</v>
      </c>
      <c r="H185" s="94"/>
      <c r="I185" s="51"/>
      <c r="J185" s="49"/>
      <c r="K185" s="49"/>
    </row>
    <row r="186" ht="22.5" customHeight="1">
      <c r="A186" s="55">
        <v>184.0</v>
      </c>
      <c r="B186" s="55" t="s">
        <v>289</v>
      </c>
      <c r="C186" s="55" t="s">
        <v>121</v>
      </c>
      <c r="D186" s="78">
        <v>45830.0</v>
      </c>
      <c r="E186" s="61">
        <v>2052.0</v>
      </c>
      <c r="F186" s="130"/>
      <c r="G186" s="61">
        <v>2052.0</v>
      </c>
      <c r="H186" s="94"/>
      <c r="I186" s="51"/>
      <c r="J186" s="49"/>
      <c r="K186" s="49"/>
    </row>
    <row r="187" ht="22.5" customHeight="1">
      <c r="A187" s="37">
        <v>185.0</v>
      </c>
      <c r="B187" s="55" t="s">
        <v>289</v>
      </c>
      <c r="C187" s="55" t="s">
        <v>121</v>
      </c>
      <c r="D187" s="78">
        <v>45830.0</v>
      </c>
      <c r="E187" s="61">
        <v>1642.0</v>
      </c>
      <c r="F187" s="130"/>
      <c r="G187" s="61">
        <v>1642.0</v>
      </c>
      <c r="H187" s="94"/>
      <c r="I187" s="51"/>
      <c r="J187" s="49"/>
      <c r="K187" s="49"/>
    </row>
    <row r="188" ht="22.5" customHeight="1">
      <c r="A188" s="55">
        <v>186.0</v>
      </c>
      <c r="B188" s="55" t="s">
        <v>554</v>
      </c>
      <c r="C188" s="55"/>
      <c r="D188" s="78">
        <v>45832.0</v>
      </c>
      <c r="E188" s="61">
        <v>10350.0</v>
      </c>
      <c r="F188" s="130"/>
      <c r="G188" s="61">
        <v>10350.0</v>
      </c>
      <c r="H188" s="94"/>
      <c r="I188" s="51"/>
      <c r="J188" s="49"/>
      <c r="K188" s="49"/>
    </row>
    <row r="189" ht="22.5" customHeight="1">
      <c r="A189" s="37">
        <v>187.0</v>
      </c>
      <c r="B189" s="55" t="s">
        <v>72</v>
      </c>
      <c r="C189" s="55" t="s">
        <v>555</v>
      </c>
      <c r="D189" s="78">
        <v>45832.0</v>
      </c>
      <c r="E189" s="61">
        <v>6200.0</v>
      </c>
      <c r="F189" s="130"/>
      <c r="G189" s="61">
        <v>6200.0</v>
      </c>
      <c r="H189" s="94"/>
      <c r="I189" s="51"/>
      <c r="J189" s="49"/>
      <c r="K189" s="49"/>
    </row>
    <row r="190" ht="22.5" customHeight="1">
      <c r="A190" s="55">
        <v>188.0</v>
      </c>
      <c r="B190" s="55" t="s">
        <v>225</v>
      </c>
      <c r="C190" s="55" t="s">
        <v>556</v>
      </c>
      <c r="D190" s="78">
        <v>45832.0</v>
      </c>
      <c r="E190" s="61">
        <v>27195.0</v>
      </c>
      <c r="F190" s="130"/>
      <c r="G190" s="61">
        <v>27195.0</v>
      </c>
      <c r="H190" s="94"/>
      <c r="I190" s="51"/>
      <c r="J190" s="49"/>
      <c r="K190" s="49"/>
    </row>
    <row r="191" ht="22.5" customHeight="1">
      <c r="A191" s="37">
        <v>189.0</v>
      </c>
      <c r="B191" s="55" t="s">
        <v>418</v>
      </c>
      <c r="C191" s="55" t="s">
        <v>557</v>
      </c>
      <c r="D191" s="78">
        <v>45832.0</v>
      </c>
      <c r="E191" s="61">
        <v>3124.0</v>
      </c>
      <c r="F191" s="130"/>
      <c r="G191" s="61">
        <v>3124.0</v>
      </c>
      <c r="H191" s="94"/>
      <c r="I191" s="51"/>
      <c r="J191" s="49"/>
      <c r="K191" s="49"/>
    </row>
    <row r="192" ht="22.5" customHeight="1">
      <c r="A192" s="55">
        <v>190.0</v>
      </c>
      <c r="B192" s="55" t="s">
        <v>30</v>
      </c>
      <c r="C192" s="55" t="s">
        <v>558</v>
      </c>
      <c r="D192" s="78">
        <v>45832.0</v>
      </c>
      <c r="E192" s="61">
        <v>14500.0</v>
      </c>
      <c r="F192" s="130"/>
      <c r="G192" s="61">
        <v>14500.0</v>
      </c>
      <c r="H192" s="94"/>
      <c r="I192" s="51"/>
      <c r="J192" s="49"/>
      <c r="K192" s="49"/>
    </row>
    <row r="193" ht="22.5" customHeight="1">
      <c r="A193" s="37">
        <v>191.0</v>
      </c>
      <c r="B193" s="55" t="s">
        <v>559</v>
      </c>
      <c r="C193" s="55" t="s">
        <v>560</v>
      </c>
      <c r="D193" s="78">
        <v>45832.0</v>
      </c>
      <c r="E193" s="61">
        <v>9280.0</v>
      </c>
      <c r="F193" s="130"/>
      <c r="G193" s="61">
        <v>9280.0</v>
      </c>
      <c r="H193" s="51" t="s">
        <v>561</v>
      </c>
      <c r="I193" s="51"/>
      <c r="J193" s="49"/>
      <c r="K193" s="49"/>
    </row>
    <row r="194" ht="22.5" customHeight="1">
      <c r="A194" s="55">
        <v>192.0</v>
      </c>
      <c r="B194" s="55" t="s">
        <v>562</v>
      </c>
      <c r="C194" s="55" t="s">
        <v>563</v>
      </c>
      <c r="D194" s="78">
        <v>45832.0</v>
      </c>
      <c r="E194" s="61">
        <v>8500.0</v>
      </c>
      <c r="F194" s="130"/>
      <c r="G194" s="61">
        <v>8500.0</v>
      </c>
      <c r="H194" s="94"/>
      <c r="I194" s="51"/>
      <c r="J194" s="49"/>
      <c r="K194" s="49"/>
    </row>
    <row r="195" ht="22.5" customHeight="1">
      <c r="A195" s="37">
        <v>193.0</v>
      </c>
      <c r="B195" s="55" t="s">
        <v>142</v>
      </c>
      <c r="C195" s="55" t="s">
        <v>564</v>
      </c>
      <c r="D195" s="78">
        <v>45832.0</v>
      </c>
      <c r="E195" s="61">
        <v>49000.0</v>
      </c>
      <c r="F195" s="55">
        <v>1000.0</v>
      </c>
      <c r="G195" s="61">
        <v>50000.0</v>
      </c>
      <c r="H195" s="94"/>
      <c r="I195" s="51"/>
      <c r="J195" s="49"/>
      <c r="K195" s="49"/>
    </row>
    <row r="196" ht="22.5" customHeight="1">
      <c r="A196" s="55">
        <v>194.0</v>
      </c>
      <c r="B196" s="55" t="s">
        <v>565</v>
      </c>
      <c r="C196" s="55" t="s">
        <v>566</v>
      </c>
      <c r="D196" s="78">
        <v>45833.0</v>
      </c>
      <c r="E196" s="61">
        <v>8000.0</v>
      </c>
      <c r="F196" s="130"/>
      <c r="G196" s="61">
        <v>8000.0</v>
      </c>
      <c r="H196" s="94"/>
      <c r="I196" s="51"/>
      <c r="J196" s="49"/>
      <c r="K196" s="49"/>
    </row>
    <row r="197" ht="22.5" customHeight="1">
      <c r="A197" s="37">
        <v>195.0</v>
      </c>
      <c r="B197" s="55" t="s">
        <v>567</v>
      </c>
      <c r="C197" s="55" t="s">
        <v>568</v>
      </c>
      <c r="D197" s="78">
        <v>45833.0</v>
      </c>
      <c r="E197" s="61">
        <v>10000.0</v>
      </c>
      <c r="F197" s="130"/>
      <c r="G197" s="61">
        <v>10000.0</v>
      </c>
      <c r="H197" s="94"/>
      <c r="I197" s="51"/>
      <c r="J197" s="49"/>
      <c r="K197" s="49"/>
    </row>
    <row r="198" ht="22.5" customHeight="1">
      <c r="A198" s="55">
        <v>196.0</v>
      </c>
      <c r="B198" s="55" t="s">
        <v>72</v>
      </c>
      <c r="C198" s="55" t="s">
        <v>569</v>
      </c>
      <c r="D198" s="78">
        <v>45833.0</v>
      </c>
      <c r="E198" s="61">
        <v>29400.0</v>
      </c>
      <c r="F198" s="55">
        <v>600.0</v>
      </c>
      <c r="G198" s="61">
        <v>30000.0</v>
      </c>
      <c r="H198" s="94"/>
      <c r="I198" s="51"/>
      <c r="J198" s="49"/>
      <c r="K198" s="49"/>
    </row>
    <row r="199" ht="22.5" customHeight="1">
      <c r="A199" s="37">
        <v>197.0</v>
      </c>
      <c r="B199" s="55" t="s">
        <v>88</v>
      </c>
      <c r="C199" s="55" t="s">
        <v>570</v>
      </c>
      <c r="D199" s="78">
        <v>45833.0</v>
      </c>
      <c r="E199" s="61">
        <v>15000.0</v>
      </c>
      <c r="F199" s="130"/>
      <c r="G199" s="61">
        <v>15000.0</v>
      </c>
      <c r="H199" s="94"/>
      <c r="I199" s="51"/>
      <c r="J199" s="49"/>
      <c r="K199" s="49"/>
    </row>
    <row r="200" ht="22.5" customHeight="1">
      <c r="A200" s="55">
        <v>198.0</v>
      </c>
      <c r="B200" s="55" t="s">
        <v>571</v>
      </c>
      <c r="C200" s="55" t="s">
        <v>572</v>
      </c>
      <c r="D200" s="78">
        <v>45833.0</v>
      </c>
      <c r="E200" s="61">
        <v>22000.0</v>
      </c>
      <c r="F200" s="130"/>
      <c r="G200" s="61">
        <v>22000.0</v>
      </c>
      <c r="H200" s="94"/>
      <c r="I200" s="51"/>
      <c r="J200" s="49"/>
      <c r="K200" s="49"/>
    </row>
    <row r="201" ht="22.5" customHeight="1">
      <c r="A201" s="37">
        <v>199.0</v>
      </c>
      <c r="B201" s="55" t="s">
        <v>88</v>
      </c>
      <c r="C201" s="55" t="s">
        <v>573</v>
      </c>
      <c r="D201" s="78">
        <v>45833.0</v>
      </c>
      <c r="E201" s="61">
        <v>7000.0</v>
      </c>
      <c r="F201" s="130"/>
      <c r="G201" s="61">
        <v>7000.0</v>
      </c>
      <c r="H201" s="94"/>
      <c r="I201" s="51"/>
      <c r="J201" s="49"/>
      <c r="K201" s="49"/>
    </row>
    <row r="202" ht="22.5" customHeight="1">
      <c r="A202" s="55">
        <v>200.0</v>
      </c>
      <c r="B202" s="55" t="s">
        <v>574</v>
      </c>
      <c r="C202" s="55" t="s">
        <v>575</v>
      </c>
      <c r="D202" s="78">
        <v>45835.0</v>
      </c>
      <c r="E202" s="61">
        <v>5511.0</v>
      </c>
      <c r="F202" s="130"/>
      <c r="G202" s="61">
        <v>5511.0</v>
      </c>
      <c r="H202" s="94"/>
      <c r="I202" s="51"/>
      <c r="J202" s="49"/>
      <c r="K202" s="49"/>
    </row>
    <row r="203" ht="22.5" customHeight="1">
      <c r="A203" s="37">
        <v>201.0</v>
      </c>
      <c r="B203" s="55" t="s">
        <v>415</v>
      </c>
      <c r="C203" s="55" t="s">
        <v>576</v>
      </c>
      <c r="D203" s="78">
        <v>45835.0</v>
      </c>
      <c r="E203" s="61">
        <v>35100.0</v>
      </c>
      <c r="F203" s="55">
        <v>3250.0</v>
      </c>
      <c r="G203" s="61">
        <f>SUM(E203:F203)</f>
        <v>38350</v>
      </c>
      <c r="H203" s="94"/>
      <c r="I203" s="51"/>
      <c r="J203" s="49"/>
      <c r="K203" s="49"/>
    </row>
    <row r="204" ht="22.5" customHeight="1">
      <c r="A204" s="55">
        <v>202.0</v>
      </c>
      <c r="B204" s="55" t="s">
        <v>202</v>
      </c>
      <c r="C204" s="55" t="s">
        <v>577</v>
      </c>
      <c r="D204" s="78">
        <v>45835.0</v>
      </c>
      <c r="E204" s="61">
        <v>10000.0</v>
      </c>
      <c r="F204" s="130"/>
      <c r="G204" s="61">
        <v>10000.0</v>
      </c>
      <c r="H204" s="94"/>
      <c r="I204" s="51"/>
      <c r="J204" s="49"/>
      <c r="K204" s="49"/>
    </row>
    <row r="205" ht="22.5" customHeight="1">
      <c r="A205" s="37">
        <v>203.0</v>
      </c>
      <c r="B205" s="202" t="s">
        <v>578</v>
      </c>
      <c r="C205" s="55" t="s">
        <v>579</v>
      </c>
      <c r="D205" s="78">
        <v>45838.0</v>
      </c>
      <c r="E205" s="61">
        <v>5345.0</v>
      </c>
      <c r="F205" s="55">
        <v>0.0</v>
      </c>
      <c r="G205" s="61">
        <v>5345.0</v>
      </c>
      <c r="H205" s="94"/>
      <c r="I205" s="51"/>
      <c r="J205" s="49"/>
      <c r="K205" s="49"/>
    </row>
    <row r="206" ht="22.5" customHeight="1">
      <c r="A206" s="55">
        <v>204.0</v>
      </c>
      <c r="B206" s="55" t="s">
        <v>72</v>
      </c>
      <c r="C206" s="55" t="s">
        <v>580</v>
      </c>
      <c r="D206" s="78">
        <v>45838.0</v>
      </c>
      <c r="E206" s="61">
        <v>27930.0</v>
      </c>
      <c r="F206" s="55">
        <v>570.0</v>
      </c>
      <c r="G206" s="61">
        <v>27930.0</v>
      </c>
      <c r="H206" s="94"/>
      <c r="I206" s="51"/>
      <c r="J206" s="49"/>
      <c r="K206" s="49"/>
    </row>
    <row r="207" ht="22.5" customHeight="1">
      <c r="A207" s="37">
        <v>205.0</v>
      </c>
      <c r="B207" s="55" t="s">
        <v>581</v>
      </c>
      <c r="C207" s="55" t="s">
        <v>582</v>
      </c>
      <c r="D207" s="78">
        <v>45838.0</v>
      </c>
      <c r="E207" s="61">
        <v>32400.0</v>
      </c>
      <c r="F207" s="55">
        <v>3000.0</v>
      </c>
      <c r="G207" s="61">
        <v>32400.0</v>
      </c>
      <c r="H207" s="94"/>
      <c r="I207" s="51"/>
      <c r="J207" s="49"/>
      <c r="K207" s="49"/>
    </row>
    <row r="208" ht="22.5" customHeight="1">
      <c r="A208" s="55">
        <v>206.0</v>
      </c>
      <c r="B208" s="55" t="s">
        <v>583</v>
      </c>
      <c r="C208" s="55" t="s">
        <v>584</v>
      </c>
      <c r="D208" s="78">
        <v>45838.0</v>
      </c>
      <c r="E208" s="61">
        <v>12500.0</v>
      </c>
      <c r="F208" s="55">
        <v>0.0</v>
      </c>
      <c r="G208" s="61">
        <v>12500.0</v>
      </c>
      <c r="H208" s="94"/>
      <c r="I208" s="51"/>
      <c r="J208" s="49"/>
      <c r="K208" s="49"/>
    </row>
    <row r="209" ht="22.5" customHeight="1">
      <c r="A209" s="37">
        <v>207.0</v>
      </c>
      <c r="B209" s="55" t="s">
        <v>585</v>
      </c>
      <c r="C209" s="55" t="s">
        <v>586</v>
      </c>
      <c r="D209" s="78">
        <v>45838.0</v>
      </c>
      <c r="E209" s="61">
        <v>6500.0</v>
      </c>
      <c r="F209" s="55">
        <v>0.0</v>
      </c>
      <c r="G209" s="61">
        <v>6500.0</v>
      </c>
      <c r="H209" s="94"/>
      <c r="I209" s="51"/>
      <c r="J209" s="49"/>
      <c r="K209" s="49"/>
    </row>
    <row r="210" ht="22.5" customHeight="1">
      <c r="A210" s="55">
        <v>208.0</v>
      </c>
      <c r="B210" s="55" t="s">
        <v>587</v>
      </c>
      <c r="C210" s="55" t="s">
        <v>121</v>
      </c>
      <c r="D210" s="78">
        <v>45838.0</v>
      </c>
      <c r="E210" s="61">
        <v>21600.0</v>
      </c>
      <c r="F210" s="55">
        <v>2000.0</v>
      </c>
      <c r="G210" s="61">
        <v>21600.0</v>
      </c>
      <c r="H210" s="94"/>
      <c r="I210" s="51"/>
      <c r="J210" s="49"/>
      <c r="K210" s="49"/>
    </row>
    <row r="211" ht="22.5" customHeight="1">
      <c r="A211" s="37">
        <v>209.0</v>
      </c>
      <c r="B211" s="55" t="s">
        <v>588</v>
      </c>
      <c r="C211" s="55" t="s">
        <v>589</v>
      </c>
      <c r="D211" s="78">
        <v>45838.0</v>
      </c>
      <c r="E211" s="61">
        <v>6467.0</v>
      </c>
      <c r="F211" s="55">
        <v>0.0</v>
      </c>
      <c r="G211" s="61">
        <v>6467.0</v>
      </c>
      <c r="H211" s="94"/>
      <c r="I211" s="51"/>
      <c r="J211" s="49"/>
      <c r="K211" s="49"/>
    </row>
    <row r="212" ht="22.5" customHeight="1">
      <c r="A212" s="55">
        <v>210.0</v>
      </c>
      <c r="B212" s="55" t="s">
        <v>590</v>
      </c>
      <c r="C212" s="55" t="s">
        <v>591</v>
      </c>
      <c r="D212" s="78">
        <v>45838.0</v>
      </c>
      <c r="E212" s="61">
        <v>6700.0</v>
      </c>
      <c r="F212" s="55">
        <v>0.0</v>
      </c>
      <c r="G212" s="61">
        <v>6700.0</v>
      </c>
      <c r="H212" s="94"/>
      <c r="I212" s="51"/>
      <c r="J212" s="49"/>
      <c r="K212" s="49"/>
    </row>
    <row r="213" ht="22.5" customHeight="1">
      <c r="A213" s="37">
        <v>211.0</v>
      </c>
      <c r="B213" s="55" t="s">
        <v>142</v>
      </c>
      <c r="C213" s="55" t="s">
        <v>592</v>
      </c>
      <c r="D213" s="78">
        <v>45838.0</v>
      </c>
      <c r="E213" s="61">
        <v>53900.0</v>
      </c>
      <c r="F213" s="55">
        <v>1100.0</v>
      </c>
      <c r="G213" s="61">
        <v>53900.0</v>
      </c>
      <c r="H213" s="94"/>
      <c r="I213" s="51"/>
      <c r="J213" s="49"/>
      <c r="K213" s="49"/>
    </row>
    <row r="214" ht="22.5" customHeight="1">
      <c r="A214" s="55">
        <v>212.0</v>
      </c>
      <c r="B214" s="55" t="s">
        <v>593</v>
      </c>
      <c r="C214" s="55" t="s">
        <v>594</v>
      </c>
      <c r="D214" s="78">
        <v>45839.0</v>
      </c>
      <c r="E214" s="61">
        <v>20000.0</v>
      </c>
      <c r="F214" s="130"/>
      <c r="G214" s="61">
        <v>20000.0</v>
      </c>
      <c r="H214" s="94"/>
      <c r="I214" s="51"/>
      <c r="J214" s="49"/>
      <c r="K214" s="49"/>
    </row>
    <row r="215" ht="22.5" customHeight="1">
      <c r="A215" s="37">
        <v>213.0</v>
      </c>
      <c r="B215" s="55" t="s">
        <v>246</v>
      </c>
      <c r="C215" s="55" t="s">
        <v>595</v>
      </c>
      <c r="D215" s="78">
        <v>45839.0</v>
      </c>
      <c r="E215" s="61">
        <v>30000.0</v>
      </c>
      <c r="F215" s="130"/>
      <c r="G215" s="61">
        <v>30000.0</v>
      </c>
      <c r="H215" s="94"/>
      <c r="I215" s="51"/>
      <c r="J215" s="49"/>
      <c r="K215" s="49"/>
    </row>
    <row r="216" ht="22.5" customHeight="1">
      <c r="A216" s="55">
        <v>214.0</v>
      </c>
      <c r="B216" s="55" t="s">
        <v>596</v>
      </c>
      <c r="C216" s="55" t="s">
        <v>597</v>
      </c>
      <c r="D216" s="78">
        <v>45839.0</v>
      </c>
      <c r="E216" s="61">
        <v>10000.0</v>
      </c>
      <c r="F216" s="130"/>
      <c r="G216" s="61">
        <v>10000.0</v>
      </c>
      <c r="H216" s="94"/>
      <c r="I216" s="51"/>
      <c r="J216" s="49"/>
      <c r="K216" s="49"/>
    </row>
    <row r="217" ht="22.5" customHeight="1">
      <c r="A217" s="37">
        <v>215.0</v>
      </c>
      <c r="B217" s="55" t="s">
        <v>598</v>
      </c>
      <c r="C217" s="55" t="s">
        <v>599</v>
      </c>
      <c r="D217" s="78">
        <v>45839.0</v>
      </c>
      <c r="E217" s="61">
        <v>25000.0</v>
      </c>
      <c r="F217" s="130"/>
      <c r="G217" s="61">
        <v>25000.0</v>
      </c>
      <c r="H217" s="94"/>
      <c r="I217" s="51"/>
      <c r="J217" s="49"/>
      <c r="K217" s="49"/>
    </row>
    <row r="218" ht="22.5" customHeight="1">
      <c r="A218" s="55">
        <v>216.0</v>
      </c>
      <c r="B218" s="55" t="s">
        <v>36</v>
      </c>
      <c r="C218" s="55" t="s">
        <v>600</v>
      </c>
      <c r="D218" s="78">
        <v>45839.0</v>
      </c>
      <c r="E218" s="61">
        <v>29240.0</v>
      </c>
      <c r="F218" s="130"/>
      <c r="G218" s="61">
        <v>29240.0</v>
      </c>
      <c r="H218" s="94"/>
      <c r="I218" s="51"/>
      <c r="J218" s="49"/>
      <c r="K218" s="49"/>
    </row>
    <row r="219" ht="22.5" customHeight="1">
      <c r="A219" s="37">
        <v>217.0</v>
      </c>
      <c r="B219" s="55" t="s">
        <v>72</v>
      </c>
      <c r="C219" s="55" t="s">
        <v>601</v>
      </c>
      <c r="D219" s="78">
        <v>45839.0</v>
      </c>
      <c r="E219" s="61">
        <v>6700.0</v>
      </c>
      <c r="F219" s="130"/>
      <c r="G219" s="61">
        <v>6700.0</v>
      </c>
      <c r="H219" s="94"/>
      <c r="I219" s="51"/>
      <c r="J219" s="49"/>
      <c r="K219" s="49"/>
    </row>
    <row r="220" ht="22.5" customHeight="1">
      <c r="A220" s="55">
        <v>218.0</v>
      </c>
      <c r="B220" s="55" t="s">
        <v>435</v>
      </c>
      <c r="C220" s="55" t="s">
        <v>602</v>
      </c>
      <c r="D220" s="78">
        <v>45839.0</v>
      </c>
      <c r="E220" s="61">
        <v>305860.0</v>
      </c>
      <c r="F220" s="55">
        <v>21700.0</v>
      </c>
      <c r="G220" s="61">
        <v>305860.0</v>
      </c>
      <c r="H220" s="51" t="s">
        <v>603</v>
      </c>
      <c r="I220" s="51"/>
      <c r="J220" s="49"/>
      <c r="K220" s="49"/>
    </row>
    <row r="221" ht="22.5" customHeight="1">
      <c r="A221" s="37">
        <v>219.0</v>
      </c>
      <c r="B221" s="55" t="s">
        <v>318</v>
      </c>
      <c r="C221" s="55" t="s">
        <v>604</v>
      </c>
      <c r="D221" s="78">
        <v>45839.0</v>
      </c>
      <c r="E221" s="61">
        <v>18740.0</v>
      </c>
      <c r="F221" s="130"/>
      <c r="G221" s="61">
        <v>18740.0</v>
      </c>
      <c r="H221" s="94"/>
      <c r="I221" s="51"/>
      <c r="J221" s="49"/>
      <c r="K221" s="49"/>
    </row>
    <row r="222" ht="22.5" customHeight="1">
      <c r="A222" s="55">
        <v>220.0</v>
      </c>
      <c r="B222" s="55" t="s">
        <v>605</v>
      </c>
      <c r="C222" s="55" t="s">
        <v>606</v>
      </c>
      <c r="D222" s="78">
        <v>45840.0</v>
      </c>
      <c r="E222" s="61">
        <v>10000.0</v>
      </c>
      <c r="F222" s="55">
        <v>0.0</v>
      </c>
      <c r="G222" s="61">
        <v>10000.0</v>
      </c>
      <c r="H222" s="94"/>
      <c r="I222" s="51"/>
      <c r="J222" s="49"/>
      <c r="K222" s="49"/>
    </row>
    <row r="223" ht="22.5" customHeight="1">
      <c r="A223" s="37">
        <v>221.0</v>
      </c>
      <c r="B223" s="55" t="s">
        <v>490</v>
      </c>
      <c r="C223" s="55" t="s">
        <v>607</v>
      </c>
      <c r="D223" s="78">
        <v>45840.0</v>
      </c>
      <c r="E223" s="61">
        <v>35400.0</v>
      </c>
      <c r="F223" s="130"/>
      <c r="G223" s="61">
        <v>35400.0</v>
      </c>
      <c r="H223" s="94"/>
      <c r="I223" s="51"/>
      <c r="J223" s="49"/>
      <c r="K223" s="49"/>
    </row>
    <row r="224" ht="22.5" customHeight="1">
      <c r="A224" s="55">
        <v>222.0</v>
      </c>
      <c r="B224" s="55" t="s">
        <v>608</v>
      </c>
      <c r="C224" s="55" t="s">
        <v>609</v>
      </c>
      <c r="D224" s="78">
        <v>45840.0</v>
      </c>
      <c r="E224" s="61">
        <v>92500.0</v>
      </c>
      <c r="F224" s="130"/>
      <c r="G224" s="61">
        <v>92500.0</v>
      </c>
      <c r="H224" s="94"/>
      <c r="I224" s="51"/>
      <c r="J224" s="49"/>
      <c r="K224" s="49"/>
    </row>
    <row r="225" ht="22.5" customHeight="1">
      <c r="A225" s="37">
        <v>223.0</v>
      </c>
      <c r="B225" s="55" t="s">
        <v>610</v>
      </c>
      <c r="C225" s="55" t="s">
        <v>611</v>
      </c>
      <c r="D225" s="78">
        <v>45843.0</v>
      </c>
      <c r="E225" s="61">
        <v>17200.0</v>
      </c>
      <c r="F225" s="130"/>
      <c r="G225" s="61">
        <v>17200.0</v>
      </c>
      <c r="H225" s="94"/>
      <c r="I225" s="51"/>
      <c r="J225" s="49"/>
      <c r="K225" s="49"/>
    </row>
    <row r="226" ht="22.5" customHeight="1">
      <c r="A226" s="55">
        <v>224.0</v>
      </c>
      <c r="B226" s="55" t="s">
        <v>88</v>
      </c>
      <c r="C226" s="55" t="s">
        <v>612</v>
      </c>
      <c r="D226" s="78">
        <v>45843.0</v>
      </c>
      <c r="E226" s="61">
        <v>32000.0</v>
      </c>
      <c r="F226" s="130"/>
      <c r="G226" s="61">
        <v>32000.0</v>
      </c>
      <c r="H226" s="94"/>
      <c r="I226" s="51"/>
      <c r="J226" s="49"/>
      <c r="K226" s="49"/>
    </row>
    <row r="227" ht="22.5" customHeight="1">
      <c r="A227" s="37">
        <v>225.0</v>
      </c>
      <c r="B227" s="55" t="s">
        <v>530</v>
      </c>
      <c r="C227" s="55" t="s">
        <v>613</v>
      </c>
      <c r="D227" s="78">
        <v>45843.0</v>
      </c>
      <c r="E227" s="61">
        <v>15340.0</v>
      </c>
      <c r="F227" s="130"/>
      <c r="G227" s="61">
        <v>15340.0</v>
      </c>
      <c r="H227" s="94"/>
      <c r="I227" s="51"/>
      <c r="J227" s="49"/>
      <c r="K227" s="49"/>
    </row>
    <row r="228" ht="22.5" customHeight="1">
      <c r="A228" s="55">
        <v>226.0</v>
      </c>
      <c r="B228" s="55" t="s">
        <v>415</v>
      </c>
      <c r="C228" s="55" t="s">
        <v>614</v>
      </c>
      <c r="D228" s="78">
        <v>45846.0</v>
      </c>
      <c r="E228" s="61">
        <v>75600.0</v>
      </c>
      <c r="F228" s="130"/>
      <c r="G228" s="61">
        <v>75600.0</v>
      </c>
      <c r="H228" s="94"/>
      <c r="I228" s="51"/>
      <c r="J228" s="49"/>
      <c r="K228" s="49"/>
    </row>
    <row r="229" ht="22.5" customHeight="1">
      <c r="A229" s="37">
        <v>227.0</v>
      </c>
      <c r="B229" s="55" t="s">
        <v>281</v>
      </c>
      <c r="C229" s="55" t="s">
        <v>615</v>
      </c>
      <c r="D229" s="78">
        <v>45846.0</v>
      </c>
      <c r="E229" s="61">
        <v>15000.0</v>
      </c>
      <c r="F229" s="130"/>
      <c r="G229" s="61">
        <v>15000.0</v>
      </c>
      <c r="H229" s="94"/>
      <c r="I229" s="51"/>
      <c r="J229" s="49"/>
      <c r="K229" s="49"/>
    </row>
    <row r="230" ht="22.5" customHeight="1">
      <c r="A230" s="55">
        <v>228.0</v>
      </c>
      <c r="B230" s="55" t="s">
        <v>284</v>
      </c>
      <c r="C230" s="55" t="s">
        <v>616</v>
      </c>
      <c r="D230" s="78">
        <v>45846.0</v>
      </c>
      <c r="E230" s="61">
        <v>5779.0</v>
      </c>
      <c r="F230" s="130"/>
      <c r="G230" s="61">
        <v>5779.0</v>
      </c>
      <c r="H230" s="94"/>
      <c r="I230" s="51"/>
      <c r="J230" s="49"/>
      <c r="K230" s="49"/>
    </row>
    <row r="231" ht="22.5" customHeight="1">
      <c r="A231" s="37">
        <v>229.0</v>
      </c>
      <c r="B231" s="55" t="s">
        <v>617</v>
      </c>
      <c r="C231" s="55" t="s">
        <v>618</v>
      </c>
      <c r="D231" s="78">
        <v>45846.0</v>
      </c>
      <c r="E231" s="61">
        <v>8408.0</v>
      </c>
      <c r="F231" s="130"/>
      <c r="G231" s="61">
        <v>8408.0</v>
      </c>
      <c r="H231" s="94"/>
      <c r="I231" s="51"/>
      <c r="J231" s="49"/>
      <c r="K231" s="49"/>
    </row>
    <row r="232" ht="22.5" customHeight="1">
      <c r="A232" s="55">
        <v>230.0</v>
      </c>
      <c r="B232" s="55" t="s">
        <v>619</v>
      </c>
      <c r="C232" s="55" t="s">
        <v>620</v>
      </c>
      <c r="D232" s="78">
        <v>45846.0</v>
      </c>
      <c r="E232" s="61">
        <v>15000.0</v>
      </c>
      <c r="F232" s="130"/>
      <c r="G232" s="61">
        <v>15000.0</v>
      </c>
      <c r="H232" s="94"/>
      <c r="I232" s="51"/>
      <c r="J232" s="49"/>
      <c r="K232" s="49"/>
    </row>
    <row r="233" ht="22.5" customHeight="1">
      <c r="A233" s="37">
        <v>231.0</v>
      </c>
      <c r="B233" s="55" t="s">
        <v>118</v>
      </c>
      <c r="C233" s="55" t="s">
        <v>121</v>
      </c>
      <c r="D233" s="78">
        <v>45846.0</v>
      </c>
      <c r="E233" s="61">
        <v>447.0</v>
      </c>
      <c r="F233" s="130"/>
      <c r="G233" s="61">
        <v>447.0</v>
      </c>
      <c r="H233" s="94"/>
      <c r="I233" s="51"/>
      <c r="J233" s="49"/>
      <c r="K233" s="49"/>
    </row>
    <row r="234" ht="22.5" customHeight="1">
      <c r="A234" s="55">
        <v>232.0</v>
      </c>
      <c r="B234" s="55" t="s">
        <v>142</v>
      </c>
      <c r="C234" s="55" t="s">
        <v>621</v>
      </c>
      <c r="D234" s="78">
        <v>45847.0</v>
      </c>
      <c r="E234" s="61">
        <v>98000.0</v>
      </c>
      <c r="F234" s="55">
        <v>2000.0</v>
      </c>
      <c r="G234" s="61">
        <v>98000.0</v>
      </c>
      <c r="H234" s="94"/>
      <c r="I234" s="51"/>
      <c r="J234" s="49"/>
      <c r="K234" s="49"/>
    </row>
    <row r="235" ht="22.5" customHeight="1">
      <c r="A235" s="37">
        <v>233.0</v>
      </c>
      <c r="B235" s="55" t="s">
        <v>72</v>
      </c>
      <c r="C235" s="55" t="s">
        <v>622</v>
      </c>
      <c r="D235" s="78">
        <v>45847.0</v>
      </c>
      <c r="E235" s="61">
        <v>29700.0</v>
      </c>
      <c r="F235" s="55">
        <v>300.0</v>
      </c>
      <c r="G235" s="61">
        <v>29700.0</v>
      </c>
      <c r="H235" s="94"/>
      <c r="I235" s="51"/>
      <c r="J235" s="49"/>
      <c r="K235" s="49"/>
    </row>
    <row r="236" ht="22.5" customHeight="1">
      <c r="A236" s="55">
        <v>234.0</v>
      </c>
      <c r="B236" s="55" t="s">
        <v>362</v>
      </c>
      <c r="C236" s="55" t="s">
        <v>623</v>
      </c>
      <c r="D236" s="78">
        <v>45847.0</v>
      </c>
      <c r="E236" s="61">
        <v>156600.0</v>
      </c>
      <c r="F236" s="130"/>
      <c r="G236" s="61">
        <v>156600.0</v>
      </c>
      <c r="H236" s="94"/>
      <c r="I236" s="51"/>
      <c r="J236" s="49"/>
      <c r="K236" s="49"/>
    </row>
    <row r="237" ht="22.5" customHeight="1">
      <c r="A237" s="37">
        <v>235.0</v>
      </c>
      <c r="B237" s="55" t="s">
        <v>624</v>
      </c>
      <c r="C237" s="55" t="s">
        <v>625</v>
      </c>
      <c r="D237" s="78">
        <v>45847.0</v>
      </c>
      <c r="E237" s="61">
        <v>6000.0</v>
      </c>
      <c r="F237" s="130"/>
      <c r="G237" s="61">
        <v>6000.0</v>
      </c>
      <c r="H237" s="94"/>
      <c r="I237" s="51"/>
      <c r="J237" s="49"/>
      <c r="K237" s="49"/>
    </row>
    <row r="238" ht="22.5" customHeight="1">
      <c r="A238" s="55">
        <v>236.0</v>
      </c>
      <c r="B238" s="55" t="s">
        <v>88</v>
      </c>
      <c r="C238" s="55" t="s">
        <v>626</v>
      </c>
      <c r="D238" s="78">
        <v>45847.0</v>
      </c>
      <c r="E238" s="61">
        <v>20000.0</v>
      </c>
      <c r="F238" s="130"/>
      <c r="G238" s="61">
        <v>20000.0</v>
      </c>
      <c r="H238" s="94"/>
      <c r="I238" s="51"/>
      <c r="J238" s="49"/>
      <c r="K238" s="49"/>
    </row>
    <row r="239" ht="22.5" customHeight="1">
      <c r="A239" s="37">
        <v>237.0</v>
      </c>
      <c r="B239" s="55" t="s">
        <v>225</v>
      </c>
      <c r="C239" s="55" t="s">
        <v>627</v>
      </c>
      <c r="D239" s="78">
        <v>45848.0</v>
      </c>
      <c r="E239" s="61">
        <v>20000.0</v>
      </c>
      <c r="F239" s="130"/>
      <c r="G239" s="61">
        <v>20000.0</v>
      </c>
      <c r="H239" s="94"/>
      <c r="I239" s="51"/>
      <c r="J239" s="49"/>
      <c r="K239" s="49"/>
    </row>
    <row r="240" ht="22.5" customHeight="1">
      <c r="A240" s="55">
        <v>238.0</v>
      </c>
      <c r="B240" s="55" t="s">
        <v>225</v>
      </c>
      <c r="C240" s="55" t="s">
        <v>628</v>
      </c>
      <c r="D240" s="78">
        <v>45848.0</v>
      </c>
      <c r="E240" s="61">
        <v>30000.0</v>
      </c>
      <c r="F240" s="130"/>
      <c r="G240" s="61">
        <v>30000.0</v>
      </c>
      <c r="H240" s="94"/>
      <c r="I240" s="51"/>
      <c r="J240" s="49"/>
      <c r="K240" s="49"/>
    </row>
    <row r="241" ht="22.5" customHeight="1">
      <c r="A241" s="37">
        <v>239.0</v>
      </c>
      <c r="B241" s="55" t="s">
        <v>72</v>
      </c>
      <c r="C241" s="55" t="s">
        <v>629</v>
      </c>
      <c r="D241" s="78">
        <v>45849.0</v>
      </c>
      <c r="E241" s="61">
        <v>44550.0</v>
      </c>
      <c r="F241" s="130"/>
      <c r="G241" s="61">
        <v>44550.0</v>
      </c>
      <c r="H241" s="94"/>
      <c r="I241" s="51"/>
      <c r="J241" s="49"/>
      <c r="K241" s="49"/>
    </row>
    <row r="242" ht="22.5" customHeight="1">
      <c r="A242" s="55">
        <v>240.0</v>
      </c>
      <c r="B242" s="55" t="s">
        <v>630</v>
      </c>
      <c r="C242" s="55" t="s">
        <v>631</v>
      </c>
      <c r="D242" s="78">
        <v>45850.0</v>
      </c>
      <c r="E242" s="61">
        <v>1789.0</v>
      </c>
      <c r="F242" s="130"/>
      <c r="G242" s="61">
        <v>1789.0</v>
      </c>
      <c r="H242" s="94"/>
      <c r="I242" s="51"/>
      <c r="J242" s="49"/>
      <c r="K242" s="49"/>
    </row>
    <row r="243" ht="22.5" customHeight="1">
      <c r="A243" s="37">
        <v>241.0</v>
      </c>
      <c r="B243" s="55" t="s">
        <v>632</v>
      </c>
      <c r="C243" s="55"/>
      <c r="D243" s="78">
        <v>45850.0</v>
      </c>
      <c r="E243" s="61">
        <v>3500.0</v>
      </c>
      <c r="F243" s="130"/>
      <c r="G243" s="61">
        <v>3500.0</v>
      </c>
      <c r="H243" s="94"/>
      <c r="I243" s="51"/>
      <c r="J243" s="49"/>
      <c r="K243" s="49"/>
    </row>
    <row r="244" ht="22.5" customHeight="1">
      <c r="A244" s="55">
        <v>242.0</v>
      </c>
      <c r="B244" s="55" t="s">
        <v>362</v>
      </c>
      <c r="C244" s="55"/>
      <c r="D244" s="78">
        <v>45850.0</v>
      </c>
      <c r="E244" s="61">
        <v>13920.0</v>
      </c>
      <c r="F244" s="130"/>
      <c r="G244" s="61">
        <v>13920.0</v>
      </c>
      <c r="H244" s="94"/>
      <c r="I244" s="51"/>
      <c r="J244" s="49"/>
      <c r="K244" s="49"/>
    </row>
    <row r="245" ht="22.5" customHeight="1">
      <c r="A245" s="37">
        <v>243.0</v>
      </c>
      <c r="B245" s="55" t="s">
        <v>362</v>
      </c>
      <c r="C245" s="55"/>
      <c r="D245" s="78">
        <v>45850.0</v>
      </c>
      <c r="E245" s="61">
        <v>11600.0</v>
      </c>
      <c r="F245" s="130"/>
      <c r="G245" s="61">
        <v>11600.0</v>
      </c>
      <c r="H245" s="94"/>
      <c r="I245" s="51"/>
      <c r="J245" s="49"/>
      <c r="K245" s="49"/>
    </row>
    <row r="246" ht="22.5" customHeight="1">
      <c r="A246" s="55">
        <v>244.0</v>
      </c>
      <c r="B246" s="55" t="s">
        <v>633</v>
      </c>
      <c r="C246" s="55"/>
      <c r="D246" s="78">
        <v>45850.0</v>
      </c>
      <c r="E246" s="61">
        <v>15000.0</v>
      </c>
      <c r="F246" s="130"/>
      <c r="G246" s="61">
        <v>15000.0</v>
      </c>
      <c r="H246" s="94"/>
      <c r="I246" s="51"/>
      <c r="J246" s="49"/>
      <c r="K246" s="49"/>
    </row>
    <row r="247" ht="22.5" customHeight="1">
      <c r="A247" s="37">
        <v>245.0</v>
      </c>
      <c r="B247" s="55" t="s">
        <v>634</v>
      </c>
      <c r="C247" s="55"/>
      <c r="D247" s="78">
        <v>45850.0</v>
      </c>
      <c r="E247" s="61">
        <v>6190.0</v>
      </c>
      <c r="F247" s="130"/>
      <c r="G247" s="61">
        <v>6190.0</v>
      </c>
      <c r="H247" s="94"/>
      <c r="I247" s="51"/>
      <c r="J247" s="49"/>
      <c r="K247" s="49"/>
    </row>
    <row r="248" ht="22.5" customHeight="1">
      <c r="A248" s="55">
        <v>246.0</v>
      </c>
      <c r="B248" s="55" t="s">
        <v>635</v>
      </c>
      <c r="C248" s="55"/>
      <c r="D248" s="78">
        <v>45850.0</v>
      </c>
      <c r="E248" s="61">
        <v>5000.0</v>
      </c>
      <c r="F248" s="130"/>
      <c r="G248" s="61">
        <v>5000.0</v>
      </c>
      <c r="H248" s="94"/>
      <c r="I248" s="51"/>
      <c r="J248" s="49"/>
      <c r="K248" s="49"/>
    </row>
    <row r="249" ht="22.5" customHeight="1">
      <c r="A249" s="37">
        <v>247.0</v>
      </c>
      <c r="B249" s="55" t="s">
        <v>636</v>
      </c>
      <c r="C249" s="55"/>
      <c r="D249" s="78">
        <v>45850.0</v>
      </c>
      <c r="E249" s="61">
        <v>15200.0</v>
      </c>
      <c r="F249" s="130"/>
      <c r="G249" s="61">
        <v>15200.0</v>
      </c>
      <c r="H249" s="94"/>
      <c r="I249" s="51"/>
      <c r="J249" s="49"/>
      <c r="K249" s="49"/>
    </row>
    <row r="250" ht="22.5" customHeight="1">
      <c r="A250" s="55">
        <v>248.0</v>
      </c>
      <c r="B250" s="55" t="s">
        <v>637</v>
      </c>
      <c r="C250" s="55"/>
      <c r="D250" s="78">
        <v>45850.0</v>
      </c>
      <c r="E250" s="61">
        <v>3200.0</v>
      </c>
      <c r="F250" s="130"/>
      <c r="G250" s="61">
        <v>3200.0</v>
      </c>
      <c r="H250" s="94"/>
      <c r="I250" s="51"/>
      <c r="J250" s="49"/>
      <c r="K250" s="49"/>
    </row>
    <row r="251" ht="22.5" customHeight="1">
      <c r="A251" s="37">
        <v>249.0</v>
      </c>
      <c r="B251" s="55" t="s">
        <v>638</v>
      </c>
      <c r="C251" s="55"/>
      <c r="D251" s="78">
        <v>45850.0</v>
      </c>
      <c r="E251" s="61">
        <v>32000.0</v>
      </c>
      <c r="F251" s="130"/>
      <c r="G251" s="61">
        <v>32000.0</v>
      </c>
      <c r="H251" s="94"/>
      <c r="I251" s="51"/>
      <c r="J251" s="49"/>
      <c r="K251" s="49"/>
    </row>
    <row r="252" ht="22.5" customHeight="1">
      <c r="A252" s="55">
        <v>250.0</v>
      </c>
      <c r="B252" s="55" t="s">
        <v>225</v>
      </c>
      <c r="C252" s="55" t="s">
        <v>121</v>
      </c>
      <c r="D252" s="78">
        <v>45850.0</v>
      </c>
      <c r="E252" s="61">
        <v>49250.0</v>
      </c>
      <c r="F252" s="130"/>
      <c r="G252" s="61">
        <v>49250.0</v>
      </c>
      <c r="H252" s="94"/>
      <c r="I252" s="51"/>
      <c r="J252" s="49"/>
      <c r="K252" s="49"/>
    </row>
    <row r="253" ht="22.5" customHeight="1">
      <c r="A253" s="37">
        <v>251.0</v>
      </c>
      <c r="B253" s="55" t="s">
        <v>639</v>
      </c>
      <c r="C253" s="55" t="s">
        <v>121</v>
      </c>
      <c r="D253" s="78">
        <v>45852.0</v>
      </c>
      <c r="E253" s="61">
        <v>299.0</v>
      </c>
      <c r="F253" s="130"/>
      <c r="G253" s="61">
        <v>299.0</v>
      </c>
      <c r="H253" s="94"/>
      <c r="I253" s="51"/>
      <c r="J253" s="49"/>
      <c r="K253" s="49"/>
    </row>
    <row r="254" ht="22.5" customHeight="1">
      <c r="A254" s="55">
        <v>252.0</v>
      </c>
      <c r="B254" s="55" t="s">
        <v>640</v>
      </c>
      <c r="C254" s="55" t="s">
        <v>121</v>
      </c>
      <c r="D254" s="78">
        <v>45852.0</v>
      </c>
      <c r="E254" s="61">
        <v>4844.0</v>
      </c>
      <c r="F254" s="130"/>
      <c r="G254" s="61">
        <v>4844.0</v>
      </c>
      <c r="H254" s="94"/>
      <c r="I254" s="51"/>
      <c r="J254" s="49"/>
      <c r="K254" s="49"/>
    </row>
    <row r="255" ht="22.5" customHeight="1">
      <c r="A255" s="37">
        <v>253.0</v>
      </c>
      <c r="B255" s="55" t="s">
        <v>640</v>
      </c>
      <c r="C255" s="55" t="s">
        <v>121</v>
      </c>
      <c r="D255" s="78">
        <v>45852.0</v>
      </c>
      <c r="E255" s="61">
        <v>4849.0</v>
      </c>
      <c r="F255" s="130"/>
      <c r="G255" s="61">
        <v>4849.0</v>
      </c>
      <c r="H255" s="94"/>
      <c r="I255" s="51"/>
      <c r="J255" s="49"/>
      <c r="K255" s="49"/>
    </row>
    <row r="256" ht="22.5" customHeight="1">
      <c r="A256" s="55">
        <v>254.0</v>
      </c>
      <c r="B256" s="55" t="s">
        <v>293</v>
      </c>
      <c r="C256" s="55" t="s">
        <v>121</v>
      </c>
      <c r="D256" s="78">
        <v>45852.0</v>
      </c>
      <c r="E256" s="61">
        <v>16106.0</v>
      </c>
      <c r="F256" s="130"/>
      <c r="G256" s="61">
        <v>16106.0</v>
      </c>
      <c r="H256" s="94"/>
      <c r="I256" s="51"/>
      <c r="J256" s="49"/>
      <c r="K256" s="49"/>
    </row>
    <row r="257" ht="22.5" customHeight="1">
      <c r="A257" s="37">
        <v>255.0</v>
      </c>
      <c r="B257" s="55" t="s">
        <v>641</v>
      </c>
      <c r="C257" s="55" t="s">
        <v>642</v>
      </c>
      <c r="D257" s="78">
        <v>45852.0</v>
      </c>
      <c r="E257" s="61">
        <v>27000.0</v>
      </c>
      <c r="F257" s="130"/>
      <c r="G257" s="61">
        <v>27000.0</v>
      </c>
      <c r="H257" s="94"/>
      <c r="I257" s="51"/>
      <c r="J257" s="49"/>
      <c r="K257" s="49"/>
    </row>
    <row r="258" ht="22.5" customHeight="1">
      <c r="A258" s="55">
        <v>256.0</v>
      </c>
      <c r="B258" s="55" t="s">
        <v>318</v>
      </c>
      <c r="C258" s="55" t="s">
        <v>643</v>
      </c>
      <c r="D258" s="78">
        <v>45852.0</v>
      </c>
      <c r="E258" s="61">
        <v>8269.0</v>
      </c>
      <c r="F258" s="130"/>
      <c r="G258" s="61">
        <v>8269.0</v>
      </c>
      <c r="H258" s="94"/>
      <c r="I258" s="51"/>
      <c r="J258" s="49"/>
      <c r="K258" s="49"/>
    </row>
    <row r="259" ht="22.5" customHeight="1">
      <c r="A259" s="37">
        <v>257.0</v>
      </c>
      <c r="B259" s="55" t="s">
        <v>644</v>
      </c>
      <c r="C259" s="55"/>
      <c r="D259" s="78">
        <v>45852.0</v>
      </c>
      <c r="E259" s="61">
        <v>5500.0</v>
      </c>
      <c r="F259" s="130"/>
      <c r="G259" s="61">
        <v>5500.0</v>
      </c>
      <c r="H259" s="94"/>
      <c r="I259" s="51"/>
      <c r="J259" s="49"/>
      <c r="K259" s="49"/>
    </row>
    <row r="260" ht="22.5" customHeight="1">
      <c r="A260" s="55">
        <v>258.0</v>
      </c>
      <c r="B260" s="55" t="s">
        <v>41</v>
      </c>
      <c r="C260" s="55"/>
      <c r="D260" s="78">
        <v>45852.0</v>
      </c>
      <c r="E260" s="61">
        <v>17420.0</v>
      </c>
      <c r="F260" s="130"/>
      <c r="G260" s="61">
        <v>17420.0</v>
      </c>
      <c r="H260" s="94"/>
      <c r="I260" s="51"/>
      <c r="J260" s="49"/>
      <c r="K260" s="49"/>
    </row>
    <row r="261" ht="22.5" customHeight="1">
      <c r="A261" s="37">
        <v>259.0</v>
      </c>
      <c r="B261" s="55" t="s">
        <v>170</v>
      </c>
      <c r="C261" s="55" t="s">
        <v>645</v>
      </c>
      <c r="D261" s="78">
        <v>45852.0</v>
      </c>
      <c r="E261" s="61">
        <v>7109.0</v>
      </c>
      <c r="F261" s="130"/>
      <c r="G261" s="61">
        <v>7109.0</v>
      </c>
      <c r="H261" s="94"/>
      <c r="I261" s="51"/>
      <c r="J261" s="49"/>
      <c r="K261" s="49"/>
    </row>
    <row r="262" ht="22.5" customHeight="1">
      <c r="A262" s="55">
        <v>260.0</v>
      </c>
      <c r="B262" s="55" t="s">
        <v>646</v>
      </c>
      <c r="C262" s="55"/>
      <c r="D262" s="78">
        <v>45852.0</v>
      </c>
      <c r="E262" s="61">
        <v>6400.0</v>
      </c>
      <c r="F262" s="130"/>
      <c r="G262" s="61">
        <v>6400.0</v>
      </c>
      <c r="H262" s="94"/>
      <c r="I262" s="51"/>
      <c r="J262" s="49"/>
      <c r="K262" s="49"/>
    </row>
    <row r="263" ht="22.5" customHeight="1">
      <c r="A263" s="37">
        <v>261.0</v>
      </c>
      <c r="B263" s="55" t="s">
        <v>647</v>
      </c>
      <c r="C263" s="55"/>
      <c r="D263" s="78">
        <v>45852.0</v>
      </c>
      <c r="E263" s="61">
        <v>17500.0</v>
      </c>
      <c r="F263" s="130"/>
      <c r="G263" s="61">
        <v>17500.0</v>
      </c>
      <c r="H263" s="94"/>
      <c r="I263" s="51"/>
      <c r="J263" s="49"/>
      <c r="K263" s="49"/>
    </row>
    <row r="264" ht="22.5" customHeight="1">
      <c r="A264" s="55">
        <v>262.0</v>
      </c>
      <c r="B264" s="55" t="s">
        <v>648</v>
      </c>
      <c r="C264" s="55" t="s">
        <v>649</v>
      </c>
      <c r="D264" s="78">
        <v>45852.0</v>
      </c>
      <c r="E264" s="61">
        <v>14000.0</v>
      </c>
      <c r="F264" s="130"/>
      <c r="G264" s="61">
        <v>14000.0</v>
      </c>
      <c r="H264" s="94"/>
      <c r="I264" s="51"/>
      <c r="J264" s="49"/>
      <c r="K264" s="49"/>
    </row>
    <row r="265" ht="22.5" customHeight="1">
      <c r="A265" s="37">
        <v>263.0</v>
      </c>
      <c r="B265" s="55" t="s">
        <v>650</v>
      </c>
      <c r="C265" s="55" t="s">
        <v>651</v>
      </c>
      <c r="D265" s="78">
        <v>45852.0</v>
      </c>
      <c r="E265" s="61">
        <v>15000.0</v>
      </c>
      <c r="F265" s="130"/>
      <c r="G265" s="61">
        <v>15000.0</v>
      </c>
      <c r="H265" s="94"/>
      <c r="I265" s="51"/>
      <c r="J265" s="49"/>
      <c r="K265" s="49"/>
    </row>
    <row r="266" ht="22.5" customHeight="1">
      <c r="A266" s="55">
        <v>264.0</v>
      </c>
      <c r="B266" s="55" t="s">
        <v>652</v>
      </c>
      <c r="C266" s="55" t="s">
        <v>653</v>
      </c>
      <c r="D266" s="78">
        <v>45852.0</v>
      </c>
      <c r="E266" s="61">
        <v>19214.0</v>
      </c>
      <c r="F266" s="130"/>
      <c r="G266" s="61">
        <v>19214.0</v>
      </c>
      <c r="H266" s="94"/>
      <c r="I266" s="51"/>
      <c r="J266" s="49"/>
      <c r="K266" s="49"/>
    </row>
    <row r="267" ht="22.5" customHeight="1">
      <c r="A267" s="37">
        <v>265.0</v>
      </c>
      <c r="B267" s="55" t="s">
        <v>435</v>
      </c>
      <c r="C267" s="55" t="s">
        <v>654</v>
      </c>
      <c r="D267" s="78">
        <v>45854.0</v>
      </c>
      <c r="E267" s="61">
        <v>234360.0</v>
      </c>
      <c r="F267" s="130"/>
      <c r="G267" s="61">
        <v>234360.0</v>
      </c>
      <c r="H267" s="94"/>
      <c r="I267" s="51"/>
      <c r="J267" s="49"/>
      <c r="K267" s="49"/>
    </row>
    <row r="268" ht="22.5" customHeight="1">
      <c r="A268" s="55">
        <v>266.0</v>
      </c>
      <c r="B268" s="55" t="s">
        <v>225</v>
      </c>
      <c r="C268" s="55" t="s">
        <v>655</v>
      </c>
      <c r="D268" s="78">
        <v>45855.0</v>
      </c>
      <c r="E268" s="61">
        <v>46543.0</v>
      </c>
      <c r="F268" s="130"/>
      <c r="G268" s="61">
        <v>46543.0</v>
      </c>
      <c r="H268" s="94"/>
      <c r="I268" s="51"/>
      <c r="J268" s="49"/>
      <c r="K268" s="49"/>
    </row>
    <row r="269" ht="22.5" customHeight="1">
      <c r="A269" s="37">
        <v>267.0</v>
      </c>
      <c r="B269" s="55" t="s">
        <v>450</v>
      </c>
      <c r="C269" s="55" t="s">
        <v>213</v>
      </c>
      <c r="D269" s="78">
        <v>45855.0</v>
      </c>
      <c r="E269" s="61">
        <v>11281.0</v>
      </c>
      <c r="F269" s="130"/>
      <c r="G269" s="61">
        <v>11281.0</v>
      </c>
      <c r="H269" s="94"/>
      <c r="I269" s="51"/>
      <c r="J269" s="49"/>
      <c r="K269" s="49"/>
    </row>
    <row r="270" ht="22.5" customHeight="1">
      <c r="A270" s="55">
        <v>268.0</v>
      </c>
      <c r="B270" s="55" t="s">
        <v>284</v>
      </c>
      <c r="C270" s="55" t="s">
        <v>656</v>
      </c>
      <c r="D270" s="78">
        <v>45855.0</v>
      </c>
      <c r="E270" s="61">
        <v>8000.0</v>
      </c>
      <c r="F270" s="130"/>
      <c r="G270" s="61">
        <v>8000.0</v>
      </c>
      <c r="H270" s="94"/>
      <c r="I270" s="51"/>
      <c r="J270" s="49"/>
      <c r="K270" s="49"/>
    </row>
    <row r="271" ht="22.5" customHeight="1">
      <c r="A271" s="37">
        <v>269.0</v>
      </c>
      <c r="B271" s="55" t="s">
        <v>272</v>
      </c>
      <c r="C271" s="55" t="s">
        <v>121</v>
      </c>
      <c r="D271" s="78">
        <v>45856.0</v>
      </c>
      <c r="E271" s="61">
        <v>2960.0</v>
      </c>
      <c r="F271" s="130"/>
      <c r="G271" s="61">
        <v>2960.0</v>
      </c>
      <c r="H271" s="94"/>
      <c r="I271" s="51"/>
      <c r="J271" s="49"/>
      <c r="K271" s="49"/>
    </row>
    <row r="272" ht="22.5" customHeight="1">
      <c r="A272" s="55">
        <v>270.0</v>
      </c>
      <c r="B272" s="55" t="s">
        <v>275</v>
      </c>
      <c r="C272" s="55" t="s">
        <v>121</v>
      </c>
      <c r="D272" s="78">
        <v>45856.0</v>
      </c>
      <c r="E272" s="61">
        <v>2601.0</v>
      </c>
      <c r="F272" s="130"/>
      <c r="G272" s="61">
        <v>2601.0</v>
      </c>
      <c r="H272" s="94"/>
      <c r="I272" s="51"/>
      <c r="J272" s="49"/>
      <c r="K272" s="49"/>
    </row>
    <row r="273" ht="22.5" customHeight="1">
      <c r="A273" s="37">
        <v>271.0</v>
      </c>
      <c r="B273" s="55" t="s">
        <v>630</v>
      </c>
      <c r="C273" s="55" t="s">
        <v>121</v>
      </c>
      <c r="D273" s="78">
        <v>45856.0</v>
      </c>
      <c r="E273" s="61">
        <v>10765.0</v>
      </c>
      <c r="F273" s="130"/>
      <c r="G273" s="61">
        <v>10765.0</v>
      </c>
      <c r="H273" s="94"/>
      <c r="I273" s="51"/>
      <c r="J273" s="49"/>
      <c r="K273" s="49"/>
    </row>
    <row r="274" ht="22.5" customHeight="1">
      <c r="A274" s="55">
        <v>272.0</v>
      </c>
      <c r="B274" s="174" t="s">
        <v>53</v>
      </c>
      <c r="C274" s="55"/>
      <c r="D274" s="78">
        <v>45857.0</v>
      </c>
      <c r="E274" s="61">
        <v>516617.0</v>
      </c>
      <c r="F274" s="130"/>
      <c r="G274" s="61">
        <v>516617.0</v>
      </c>
      <c r="H274" s="61"/>
      <c r="I274" s="51"/>
      <c r="J274" s="49"/>
      <c r="K274" s="49"/>
    </row>
    <row r="275" ht="22.5" customHeight="1">
      <c r="A275" s="37">
        <v>273.0</v>
      </c>
      <c r="B275" s="55" t="s">
        <v>225</v>
      </c>
      <c r="C275" s="55" t="s">
        <v>657</v>
      </c>
      <c r="D275" s="78">
        <v>45857.0</v>
      </c>
      <c r="E275" s="61">
        <v>51900.0</v>
      </c>
      <c r="F275" s="130"/>
      <c r="G275" s="61">
        <v>51900.0</v>
      </c>
      <c r="H275" s="94"/>
      <c r="I275" s="51"/>
      <c r="J275" s="49"/>
      <c r="K275" s="49"/>
    </row>
    <row r="276" ht="22.5" customHeight="1">
      <c r="A276" s="55">
        <v>274.0</v>
      </c>
      <c r="B276" s="55" t="s">
        <v>641</v>
      </c>
      <c r="C276" s="55" t="s">
        <v>658</v>
      </c>
      <c r="D276" s="78">
        <v>45857.0</v>
      </c>
      <c r="E276" s="61">
        <v>35500.0</v>
      </c>
      <c r="F276" s="130"/>
      <c r="G276" s="61">
        <v>35500.0</v>
      </c>
      <c r="H276" s="94"/>
      <c r="I276" s="51"/>
      <c r="J276" s="49"/>
      <c r="K276" s="49"/>
    </row>
    <row r="277" ht="22.5" customHeight="1">
      <c r="A277" s="37">
        <v>275.0</v>
      </c>
      <c r="B277" s="55" t="s">
        <v>289</v>
      </c>
      <c r="C277" s="55" t="s">
        <v>121</v>
      </c>
      <c r="D277" s="78">
        <v>45858.0</v>
      </c>
      <c r="E277" s="61">
        <v>1642.0</v>
      </c>
      <c r="F277" s="130"/>
      <c r="G277" s="61">
        <v>1642.0</v>
      </c>
      <c r="H277" s="94"/>
      <c r="I277" s="51"/>
      <c r="J277" s="49"/>
      <c r="K277" s="49"/>
    </row>
    <row r="278" ht="22.5" customHeight="1">
      <c r="A278" s="55">
        <v>276.0</v>
      </c>
      <c r="B278" s="55" t="s">
        <v>289</v>
      </c>
      <c r="C278" s="55" t="s">
        <v>121</v>
      </c>
      <c r="D278" s="78">
        <v>45858.0</v>
      </c>
      <c r="E278" s="61">
        <v>2052.0</v>
      </c>
      <c r="F278" s="130"/>
      <c r="G278" s="61">
        <v>2052.0</v>
      </c>
      <c r="H278" s="94"/>
      <c r="I278" s="51"/>
      <c r="J278" s="49"/>
      <c r="K278" s="49"/>
    </row>
    <row r="279" ht="22.5" customHeight="1">
      <c r="A279" s="37">
        <v>277.0</v>
      </c>
      <c r="B279" s="55" t="s">
        <v>72</v>
      </c>
      <c r="C279" s="55" t="s">
        <v>659</v>
      </c>
      <c r="D279" s="78">
        <v>45862.0</v>
      </c>
      <c r="E279" s="61">
        <v>18000.0</v>
      </c>
      <c r="F279" s="130"/>
      <c r="G279" s="61">
        <v>18000.0</v>
      </c>
      <c r="H279" s="94"/>
      <c r="I279" s="51"/>
      <c r="J279" s="49"/>
      <c r="K279" s="49"/>
    </row>
    <row r="280" ht="22.5" customHeight="1">
      <c r="A280" s="55">
        <v>278.0</v>
      </c>
      <c r="B280" s="55" t="s">
        <v>72</v>
      </c>
      <c r="C280" s="55" t="s">
        <v>660</v>
      </c>
      <c r="D280" s="78">
        <v>45862.0</v>
      </c>
      <c r="E280" s="61">
        <v>18000.0</v>
      </c>
      <c r="F280" s="130"/>
      <c r="G280" s="61">
        <v>18000.0</v>
      </c>
      <c r="H280" s="94"/>
      <c r="I280" s="51"/>
      <c r="J280" s="49"/>
      <c r="K280" s="49"/>
    </row>
    <row r="281" ht="22.5" customHeight="1">
      <c r="A281" s="37">
        <v>279.0</v>
      </c>
      <c r="B281" s="55" t="s">
        <v>610</v>
      </c>
      <c r="C281" s="55" t="s">
        <v>661</v>
      </c>
      <c r="D281" s="78">
        <v>45862.0</v>
      </c>
      <c r="E281" s="61">
        <v>13400.0</v>
      </c>
      <c r="F281" s="130"/>
      <c r="G281" s="61">
        <v>13400.0</v>
      </c>
      <c r="H281" s="94"/>
      <c r="I281" s="51"/>
      <c r="J281" s="49"/>
      <c r="K281" s="49"/>
    </row>
    <row r="282" ht="22.5" customHeight="1">
      <c r="A282" s="55">
        <v>280.0</v>
      </c>
      <c r="B282" s="55" t="s">
        <v>88</v>
      </c>
      <c r="C282" s="55" t="s">
        <v>662</v>
      </c>
      <c r="D282" s="78">
        <v>45862.0</v>
      </c>
      <c r="E282" s="61">
        <v>13000.0</v>
      </c>
      <c r="F282" s="130"/>
      <c r="G282" s="61">
        <v>13000.0</v>
      </c>
      <c r="H282" s="94"/>
      <c r="I282" s="51"/>
      <c r="J282" s="49"/>
      <c r="K282" s="49"/>
    </row>
    <row r="283" ht="22.5" customHeight="1">
      <c r="A283" s="37">
        <v>281.0</v>
      </c>
      <c r="B283" s="55" t="s">
        <v>36</v>
      </c>
      <c r="C283" s="55" t="s">
        <v>663</v>
      </c>
      <c r="D283" s="78">
        <v>45862.0</v>
      </c>
      <c r="E283" s="61">
        <v>4560.0</v>
      </c>
      <c r="F283" s="130"/>
      <c r="G283" s="61">
        <v>4560.0</v>
      </c>
      <c r="H283" s="94"/>
      <c r="I283" s="51"/>
      <c r="J283" s="49"/>
      <c r="K283" s="49"/>
    </row>
    <row r="284" ht="22.5" customHeight="1">
      <c r="A284" s="55">
        <v>282.0</v>
      </c>
      <c r="B284" s="55" t="s">
        <v>634</v>
      </c>
      <c r="C284" s="55" t="s">
        <v>664</v>
      </c>
      <c r="D284" s="78">
        <v>45862.0</v>
      </c>
      <c r="E284" s="61">
        <v>30000.0</v>
      </c>
      <c r="F284" s="130"/>
      <c r="G284" s="61">
        <v>30000.0</v>
      </c>
      <c r="H284" s="94"/>
      <c r="I284" s="51"/>
      <c r="J284" s="49"/>
      <c r="K284" s="49"/>
    </row>
    <row r="285" ht="22.5" customHeight="1">
      <c r="A285" s="37">
        <v>283.0</v>
      </c>
      <c r="B285" s="55" t="s">
        <v>665</v>
      </c>
      <c r="C285" s="55" t="s">
        <v>666</v>
      </c>
      <c r="D285" s="78">
        <v>45862.0</v>
      </c>
      <c r="E285" s="61">
        <v>15000.0</v>
      </c>
      <c r="F285" s="130"/>
      <c r="G285" s="61">
        <v>15000.0</v>
      </c>
      <c r="H285" s="94"/>
      <c r="I285" s="51"/>
      <c r="J285" s="49"/>
      <c r="K285" s="49"/>
    </row>
    <row r="286" ht="22.5" customHeight="1">
      <c r="A286" s="55">
        <v>284.0</v>
      </c>
      <c r="B286" s="55" t="s">
        <v>583</v>
      </c>
      <c r="C286" s="55" t="s">
        <v>667</v>
      </c>
      <c r="D286" s="78">
        <v>45862.0</v>
      </c>
      <c r="E286" s="61">
        <v>10000.0</v>
      </c>
      <c r="F286" s="130"/>
      <c r="G286" s="61">
        <v>10000.0</v>
      </c>
      <c r="H286" s="94"/>
      <c r="I286" s="51"/>
      <c r="J286" s="49"/>
      <c r="K286" s="49"/>
    </row>
    <row r="287" ht="22.5" customHeight="1">
      <c r="A287" s="37">
        <v>285.0</v>
      </c>
      <c r="B287" s="55" t="s">
        <v>581</v>
      </c>
      <c r="C287" s="55" t="s">
        <v>668</v>
      </c>
      <c r="D287" s="78">
        <v>45862.0</v>
      </c>
      <c r="E287" s="61">
        <v>43200.0</v>
      </c>
      <c r="F287" s="55">
        <v>4000.0</v>
      </c>
      <c r="G287" s="203">
        <f>E287+F287</f>
        <v>47200</v>
      </c>
      <c r="H287" s="94"/>
      <c r="I287" s="51"/>
      <c r="J287" s="49"/>
      <c r="K287" s="49"/>
    </row>
    <row r="288" ht="22.5" customHeight="1">
      <c r="A288" s="55">
        <v>286.0</v>
      </c>
      <c r="B288" s="55" t="s">
        <v>669</v>
      </c>
      <c r="C288" s="55" t="s">
        <v>670</v>
      </c>
      <c r="D288" s="78">
        <v>45862.0</v>
      </c>
      <c r="E288" s="61">
        <v>20000.0</v>
      </c>
      <c r="F288" s="130"/>
      <c r="G288" s="61">
        <v>20000.0</v>
      </c>
      <c r="H288" s="94"/>
      <c r="I288" s="51"/>
      <c r="J288" s="49"/>
      <c r="K288" s="49"/>
    </row>
    <row r="289" ht="22.5" customHeight="1">
      <c r="A289" s="37">
        <v>287.0</v>
      </c>
      <c r="B289" s="55" t="s">
        <v>418</v>
      </c>
      <c r="C289" s="55" t="s">
        <v>671</v>
      </c>
      <c r="D289" s="78">
        <v>45863.0</v>
      </c>
      <c r="E289" s="61">
        <v>4159.0</v>
      </c>
      <c r="F289" s="130"/>
      <c r="G289" s="61">
        <v>4159.0</v>
      </c>
      <c r="H289" s="94"/>
      <c r="I289" s="51"/>
      <c r="J289" s="49"/>
      <c r="K289" s="49"/>
    </row>
    <row r="290" ht="22.5" customHeight="1">
      <c r="A290" s="55">
        <v>288.0</v>
      </c>
      <c r="B290" s="55" t="s">
        <v>142</v>
      </c>
      <c r="C290" s="55"/>
      <c r="D290" s="78">
        <v>45863.0</v>
      </c>
      <c r="E290" s="61">
        <v>105394.0</v>
      </c>
      <c r="F290" s="55">
        <v>2151.0</v>
      </c>
      <c r="G290" s="61">
        <f>E290+F290</f>
        <v>107545</v>
      </c>
      <c r="H290" s="94"/>
      <c r="I290" s="51"/>
      <c r="J290" s="49"/>
      <c r="K290" s="49"/>
    </row>
    <row r="291" ht="22.5" customHeight="1">
      <c r="A291" s="37">
        <v>289.0</v>
      </c>
      <c r="B291" s="55" t="s">
        <v>202</v>
      </c>
      <c r="C291" s="55"/>
      <c r="D291" s="78">
        <v>45863.0</v>
      </c>
      <c r="E291" s="61">
        <v>15000.0</v>
      </c>
      <c r="F291" s="130"/>
      <c r="G291" s="61">
        <v>15000.0</v>
      </c>
      <c r="H291" s="94"/>
      <c r="I291" s="51"/>
      <c r="J291" s="49"/>
      <c r="K291" s="49"/>
    </row>
    <row r="292" ht="22.5" customHeight="1">
      <c r="A292" s="55">
        <v>290.0</v>
      </c>
      <c r="B292" s="55" t="s">
        <v>109</v>
      </c>
      <c r="C292" s="55"/>
      <c r="D292" s="78">
        <v>45864.0</v>
      </c>
      <c r="E292" s="61">
        <v>28179.0</v>
      </c>
      <c r="F292" s="130"/>
      <c r="G292" s="61">
        <v>28179.0</v>
      </c>
      <c r="H292" s="94"/>
      <c r="I292" s="51"/>
      <c r="J292" s="49"/>
      <c r="K292" s="49"/>
    </row>
    <row r="293" ht="22.5" customHeight="1">
      <c r="A293" s="37">
        <v>291.0</v>
      </c>
      <c r="B293" s="55" t="s">
        <v>672</v>
      </c>
      <c r="C293" s="55"/>
      <c r="D293" s="78">
        <v>45864.0</v>
      </c>
      <c r="E293" s="61">
        <v>18954.16</v>
      </c>
      <c r="F293" s="130"/>
      <c r="G293" s="61">
        <v>18954.16</v>
      </c>
      <c r="H293" s="94"/>
      <c r="I293" s="51"/>
      <c r="J293" s="49"/>
      <c r="K293" s="49"/>
    </row>
    <row r="294" ht="22.5" customHeight="1">
      <c r="A294" s="55">
        <v>292.0</v>
      </c>
      <c r="B294" s="55" t="s">
        <v>225</v>
      </c>
      <c r="C294" s="55"/>
      <c r="D294" s="78">
        <v>45865.0</v>
      </c>
      <c r="E294" s="61">
        <v>58427.0</v>
      </c>
      <c r="F294" s="130"/>
      <c r="G294" s="61">
        <v>58427.0</v>
      </c>
      <c r="H294" s="94"/>
      <c r="I294" s="51"/>
      <c r="J294" s="49"/>
      <c r="K294" s="49"/>
    </row>
    <row r="295" ht="22.5" customHeight="1">
      <c r="A295" s="37">
        <v>293.0</v>
      </c>
      <c r="B295" s="55" t="s">
        <v>390</v>
      </c>
      <c r="C295" s="55"/>
      <c r="D295" s="78">
        <v>45865.0</v>
      </c>
      <c r="E295" s="61">
        <v>11500.0</v>
      </c>
      <c r="F295" s="130"/>
      <c r="G295" s="61">
        <v>11500.0</v>
      </c>
      <c r="H295" s="94"/>
      <c r="I295" s="51"/>
      <c r="J295" s="49"/>
      <c r="K295" s="49"/>
    </row>
    <row r="296" ht="22.5" customHeight="1">
      <c r="A296" s="55">
        <v>294.0</v>
      </c>
      <c r="B296" s="55" t="s">
        <v>109</v>
      </c>
      <c r="C296" s="55"/>
      <c r="D296" s="78">
        <v>45866.0</v>
      </c>
      <c r="E296" s="61">
        <v>8518.0</v>
      </c>
      <c r="F296" s="130"/>
      <c r="G296" s="61">
        <f>E296+F296</f>
        <v>8518</v>
      </c>
      <c r="H296" s="94"/>
      <c r="I296" s="51"/>
      <c r="J296" s="49"/>
      <c r="K296" s="49"/>
    </row>
    <row r="297" ht="22.5" customHeight="1">
      <c r="A297" s="37">
        <v>295.0</v>
      </c>
      <c r="B297" s="55" t="s">
        <v>109</v>
      </c>
      <c r="C297" s="55"/>
      <c r="D297" s="78">
        <v>45866.0</v>
      </c>
      <c r="E297" s="61">
        <v>13859.0</v>
      </c>
      <c r="F297" s="130"/>
      <c r="G297" s="61">
        <v>13859.0</v>
      </c>
      <c r="H297" s="94"/>
      <c r="I297" s="51"/>
      <c r="J297" s="49"/>
      <c r="K297" s="49"/>
    </row>
    <row r="298" ht="22.5" customHeight="1">
      <c r="A298" s="55">
        <v>296.0</v>
      </c>
      <c r="B298" s="55" t="s">
        <v>109</v>
      </c>
      <c r="C298" s="55"/>
      <c r="D298" s="78">
        <v>45866.0</v>
      </c>
      <c r="E298" s="61">
        <v>7142.0</v>
      </c>
      <c r="F298" s="130"/>
      <c r="G298" s="61">
        <v>7142.0</v>
      </c>
      <c r="H298" s="94"/>
      <c r="I298" s="51"/>
      <c r="J298" s="49"/>
      <c r="K298" s="49"/>
    </row>
    <row r="299" ht="22.5" customHeight="1">
      <c r="A299" s="37">
        <v>297.0</v>
      </c>
      <c r="B299" s="55" t="s">
        <v>78</v>
      </c>
      <c r="C299" s="55"/>
      <c r="D299" s="78">
        <v>45867.0</v>
      </c>
      <c r="E299" s="61">
        <v>18294.0</v>
      </c>
      <c r="F299" s="130"/>
      <c r="G299" s="61">
        <v>18294.0</v>
      </c>
      <c r="H299" s="94"/>
      <c r="I299" s="51"/>
      <c r="J299" s="49"/>
      <c r="K299" s="49"/>
    </row>
    <row r="300" ht="22.5" customHeight="1">
      <c r="A300" s="55">
        <v>298.0</v>
      </c>
      <c r="B300" s="55" t="s">
        <v>673</v>
      </c>
      <c r="C300" s="55"/>
      <c r="D300" s="78">
        <v>45867.0</v>
      </c>
      <c r="E300" s="61">
        <v>33040.0</v>
      </c>
      <c r="F300" s="130"/>
      <c r="G300" s="61">
        <v>33040.0</v>
      </c>
      <c r="H300" s="94"/>
      <c r="I300" s="51"/>
      <c r="J300" s="49"/>
      <c r="K300" s="49"/>
    </row>
    <row r="301" ht="22.5" customHeight="1">
      <c r="A301" s="37">
        <v>299.0</v>
      </c>
      <c r="B301" s="55" t="s">
        <v>674</v>
      </c>
      <c r="C301" s="55"/>
      <c r="D301" s="78">
        <v>45867.0</v>
      </c>
      <c r="E301" s="61">
        <v>4000.0</v>
      </c>
      <c r="F301" s="130"/>
      <c r="G301" s="61">
        <v>4000.0</v>
      </c>
      <c r="H301" s="94"/>
      <c r="I301" s="51"/>
      <c r="J301" s="49"/>
      <c r="K301" s="49"/>
    </row>
    <row r="302" ht="22.5" customHeight="1">
      <c r="A302" s="55">
        <v>300.0</v>
      </c>
      <c r="B302" s="55" t="s">
        <v>674</v>
      </c>
      <c r="C302" s="55"/>
      <c r="D302" s="78">
        <v>45867.0</v>
      </c>
      <c r="E302" s="61">
        <v>6500.0</v>
      </c>
      <c r="F302" s="130"/>
      <c r="G302" s="61">
        <v>6500.0</v>
      </c>
      <c r="H302" s="94"/>
      <c r="I302" s="51"/>
      <c r="J302" s="49"/>
      <c r="K302" s="49"/>
    </row>
    <row r="303" ht="22.5" customHeight="1">
      <c r="A303" s="37">
        <v>301.0</v>
      </c>
      <c r="B303" s="55" t="s">
        <v>675</v>
      </c>
      <c r="C303" s="55"/>
      <c r="D303" s="78">
        <v>45867.0</v>
      </c>
      <c r="E303" s="61">
        <v>5000.0</v>
      </c>
      <c r="F303" s="130"/>
      <c r="G303" s="61">
        <v>5000.0</v>
      </c>
      <c r="H303" s="94"/>
      <c r="I303" s="51"/>
      <c r="J303" s="49"/>
      <c r="K303" s="49"/>
    </row>
    <row r="304" ht="22.5" customHeight="1">
      <c r="A304" s="55">
        <v>302.0</v>
      </c>
      <c r="B304" s="55" t="s">
        <v>676</v>
      </c>
      <c r="C304" s="55"/>
      <c r="D304" s="78">
        <v>45867.0</v>
      </c>
      <c r="E304" s="61">
        <v>10300.0</v>
      </c>
      <c r="F304" s="130"/>
      <c r="G304" s="61">
        <v>10300.0</v>
      </c>
      <c r="H304" s="94"/>
      <c r="I304" s="51"/>
      <c r="J304" s="49"/>
      <c r="K304" s="49"/>
    </row>
    <row r="305" ht="22.5" customHeight="1">
      <c r="A305" s="37">
        <v>303.0</v>
      </c>
      <c r="B305" s="55" t="s">
        <v>36</v>
      </c>
      <c r="C305" s="55"/>
      <c r="D305" s="78">
        <v>45867.0</v>
      </c>
      <c r="E305" s="61">
        <v>7500.0</v>
      </c>
      <c r="F305" s="130"/>
      <c r="G305" s="61">
        <v>7500.0</v>
      </c>
      <c r="H305" s="94"/>
      <c r="I305" s="51"/>
      <c r="J305" s="49"/>
      <c r="K305" s="49"/>
    </row>
    <row r="306" ht="22.5" customHeight="1">
      <c r="A306" s="55">
        <v>304.0</v>
      </c>
      <c r="B306" s="55" t="s">
        <v>109</v>
      </c>
      <c r="C306" s="55"/>
      <c r="D306" s="78">
        <v>45869.0</v>
      </c>
      <c r="E306" s="61">
        <v>6266.0</v>
      </c>
      <c r="F306" s="130"/>
      <c r="G306" s="61">
        <v>6266.0</v>
      </c>
      <c r="H306" s="94"/>
      <c r="I306" s="51"/>
      <c r="J306" s="49"/>
      <c r="K306" s="49"/>
    </row>
    <row r="307" ht="22.5" customHeight="1">
      <c r="A307" s="37">
        <v>305.0</v>
      </c>
      <c r="B307" s="55" t="s">
        <v>91</v>
      </c>
      <c r="C307" s="55" t="s">
        <v>677</v>
      </c>
      <c r="D307" s="78">
        <v>45869.0</v>
      </c>
      <c r="E307" s="61">
        <v>33000.0</v>
      </c>
      <c r="F307" s="130"/>
      <c r="G307" s="61">
        <v>33000.0</v>
      </c>
      <c r="H307" s="94"/>
      <c r="I307" s="51"/>
      <c r="J307" s="49"/>
      <c r="K307" s="49"/>
    </row>
    <row r="308" ht="22.5" customHeight="1">
      <c r="A308" s="55">
        <v>306.0</v>
      </c>
      <c r="B308" s="55" t="s">
        <v>379</v>
      </c>
      <c r="C308" s="55"/>
      <c r="D308" s="78">
        <v>45870.0</v>
      </c>
      <c r="E308" s="61">
        <v>13630.0</v>
      </c>
      <c r="F308" s="130"/>
      <c r="G308" s="61">
        <v>13630.0</v>
      </c>
      <c r="H308" s="94"/>
      <c r="I308" s="51"/>
      <c r="J308" s="49"/>
      <c r="K308" s="49"/>
    </row>
    <row r="309" ht="22.5" customHeight="1">
      <c r="A309" s="37">
        <v>307.0</v>
      </c>
      <c r="B309" s="55" t="s">
        <v>678</v>
      </c>
      <c r="C309" s="55"/>
      <c r="D309" s="78">
        <v>45870.0</v>
      </c>
      <c r="E309" s="61">
        <v>44660.0</v>
      </c>
      <c r="F309" s="55">
        <v>770.0</v>
      </c>
      <c r="G309" s="61">
        <f>E309+F309</f>
        <v>45430</v>
      </c>
      <c r="H309" s="94"/>
      <c r="I309" s="51"/>
      <c r="J309" s="49"/>
      <c r="K309" s="49"/>
    </row>
    <row r="310" ht="22.5" customHeight="1">
      <c r="A310" s="55">
        <v>308.0</v>
      </c>
      <c r="B310" s="55" t="s">
        <v>679</v>
      </c>
      <c r="C310" s="55"/>
      <c r="D310" s="78">
        <v>45870.0</v>
      </c>
      <c r="E310" s="61">
        <v>6500.0</v>
      </c>
      <c r="F310" s="130"/>
      <c r="G310" s="61">
        <v>6500.0</v>
      </c>
      <c r="H310" s="94"/>
      <c r="I310" s="51"/>
      <c r="J310" s="49"/>
      <c r="K310" s="49"/>
    </row>
    <row r="311" ht="22.5" customHeight="1">
      <c r="A311" s="37">
        <v>309.0</v>
      </c>
      <c r="B311" s="55" t="s">
        <v>680</v>
      </c>
      <c r="C311" s="55"/>
      <c r="D311" s="78">
        <v>45870.0</v>
      </c>
      <c r="E311" s="61">
        <v>21240.0</v>
      </c>
      <c r="F311" s="130"/>
      <c r="G311" s="61">
        <v>21240.0</v>
      </c>
      <c r="H311" s="94"/>
      <c r="I311" s="51"/>
      <c r="J311" s="49"/>
      <c r="K311" s="49"/>
    </row>
    <row r="312" ht="22.5" customHeight="1">
      <c r="A312" s="55">
        <v>310.0</v>
      </c>
      <c r="B312" s="55" t="s">
        <v>72</v>
      </c>
      <c r="C312" s="55"/>
      <c r="D312" s="78">
        <v>45870.0</v>
      </c>
      <c r="E312" s="61">
        <v>9800.0</v>
      </c>
      <c r="F312" s="55">
        <v>200.0</v>
      </c>
      <c r="G312" s="61">
        <f>E312+F312</f>
        <v>10000</v>
      </c>
      <c r="H312" s="94"/>
      <c r="I312" s="51"/>
      <c r="J312" s="49"/>
      <c r="K312" s="49"/>
    </row>
    <row r="313" ht="22.5" customHeight="1">
      <c r="A313" s="37">
        <v>311.0</v>
      </c>
      <c r="B313" s="55" t="s">
        <v>72</v>
      </c>
      <c r="C313" s="55"/>
      <c r="D313" s="78">
        <v>45870.0</v>
      </c>
      <c r="E313" s="61">
        <v>45000.0</v>
      </c>
      <c r="F313" s="130"/>
      <c r="G313" s="61">
        <v>45000.0</v>
      </c>
      <c r="H313" s="94"/>
      <c r="I313" s="51"/>
      <c r="J313" s="49"/>
      <c r="K313" s="49"/>
    </row>
    <row r="314" ht="22.5" customHeight="1">
      <c r="A314" s="55">
        <v>312.0</v>
      </c>
      <c r="B314" s="55" t="s">
        <v>225</v>
      </c>
      <c r="C314" s="55"/>
      <c r="D314" s="78">
        <v>45870.0</v>
      </c>
      <c r="E314" s="61">
        <v>50828.0</v>
      </c>
      <c r="F314" s="130"/>
      <c r="G314" s="61">
        <v>50828.0</v>
      </c>
      <c r="H314" s="94"/>
      <c r="I314" s="51"/>
      <c r="J314" s="49"/>
      <c r="K314" s="49"/>
    </row>
    <row r="315" ht="22.5" customHeight="1">
      <c r="A315" s="37">
        <v>313.0</v>
      </c>
      <c r="B315" s="55" t="s">
        <v>681</v>
      </c>
      <c r="C315" s="55"/>
      <c r="D315" s="78">
        <v>45873.0</v>
      </c>
      <c r="E315" s="61">
        <v>17100.0</v>
      </c>
      <c r="F315" s="130"/>
      <c r="G315" s="61">
        <v>17100.0</v>
      </c>
      <c r="H315" s="94"/>
      <c r="I315" s="51"/>
      <c r="J315" s="49"/>
      <c r="K315" s="49"/>
    </row>
    <row r="316" ht="22.5" customHeight="1">
      <c r="A316" s="55">
        <v>314.0</v>
      </c>
      <c r="B316" s="55" t="s">
        <v>682</v>
      </c>
      <c r="C316" s="55"/>
      <c r="D316" s="78">
        <v>45873.0</v>
      </c>
      <c r="E316" s="61">
        <v>7000.0</v>
      </c>
      <c r="F316" s="130"/>
      <c r="G316" s="61">
        <v>7000.0</v>
      </c>
      <c r="H316" s="94"/>
      <c r="I316" s="51"/>
      <c r="J316" s="49"/>
      <c r="K316" s="49"/>
    </row>
    <row r="317" ht="22.5" customHeight="1">
      <c r="A317" s="37">
        <v>315.0</v>
      </c>
      <c r="B317" s="55" t="s">
        <v>362</v>
      </c>
      <c r="C317" s="55"/>
      <c r="D317" s="78">
        <v>45873.0</v>
      </c>
      <c r="E317" s="61">
        <v>139200.0</v>
      </c>
      <c r="F317" s="55">
        <v>2400.0</v>
      </c>
      <c r="G317" s="61">
        <f>E317+F317</f>
        <v>141600</v>
      </c>
      <c r="H317" s="94"/>
      <c r="I317" s="51"/>
      <c r="J317" s="49"/>
      <c r="K317" s="49"/>
    </row>
    <row r="318" ht="22.5" customHeight="1">
      <c r="A318" s="55">
        <v>316.0</v>
      </c>
      <c r="B318" s="55" t="s">
        <v>170</v>
      </c>
      <c r="C318" s="55"/>
      <c r="D318" s="78">
        <v>45873.0</v>
      </c>
      <c r="E318" s="61">
        <v>3309.0</v>
      </c>
      <c r="F318" s="130"/>
      <c r="G318" s="61">
        <v>3309.0</v>
      </c>
      <c r="H318" s="94"/>
      <c r="I318" s="51"/>
      <c r="J318" s="49"/>
      <c r="K318" s="49"/>
    </row>
    <row r="319" ht="22.5" customHeight="1">
      <c r="A319" s="37">
        <v>317.0</v>
      </c>
      <c r="B319" s="55" t="s">
        <v>88</v>
      </c>
      <c r="C319" s="55"/>
      <c r="D319" s="78">
        <v>45874.0</v>
      </c>
      <c r="E319" s="61">
        <v>11955.0</v>
      </c>
      <c r="F319" s="130"/>
      <c r="G319" s="61">
        <v>11955.0</v>
      </c>
      <c r="H319" s="94"/>
      <c r="I319" s="51"/>
      <c r="J319" s="49"/>
      <c r="K319" s="49"/>
    </row>
    <row r="320" ht="22.5" customHeight="1">
      <c r="A320" s="55">
        <v>318.0</v>
      </c>
      <c r="B320" s="55" t="s">
        <v>683</v>
      </c>
      <c r="C320" s="130"/>
      <c r="D320" s="78">
        <v>45874.0</v>
      </c>
      <c r="E320" s="61">
        <v>12000.0</v>
      </c>
      <c r="F320" s="130"/>
      <c r="G320" s="61">
        <v>12000.0</v>
      </c>
      <c r="H320" s="94"/>
      <c r="I320" s="51"/>
      <c r="J320" s="49"/>
      <c r="K320" s="49"/>
    </row>
    <row r="321" ht="22.5" customHeight="1">
      <c r="A321" s="37">
        <v>319.0</v>
      </c>
      <c r="B321" s="55" t="s">
        <v>321</v>
      </c>
      <c r="C321" s="130"/>
      <c r="D321" s="78">
        <v>45874.0</v>
      </c>
      <c r="E321" s="61">
        <v>11609.0</v>
      </c>
      <c r="F321" s="130"/>
      <c r="G321" s="61">
        <v>11609.0</v>
      </c>
      <c r="H321" s="94"/>
      <c r="I321" s="51"/>
      <c r="J321" s="49"/>
      <c r="K321" s="49"/>
    </row>
    <row r="322" ht="22.5" customHeight="1">
      <c r="A322" s="55">
        <v>320.0</v>
      </c>
      <c r="B322" s="55" t="s">
        <v>684</v>
      </c>
      <c r="C322" s="130"/>
      <c r="D322" s="78">
        <v>45874.0</v>
      </c>
      <c r="E322" s="61">
        <v>30000.0</v>
      </c>
      <c r="F322" s="130"/>
      <c r="G322" s="61">
        <v>30000.0</v>
      </c>
      <c r="H322" s="94"/>
      <c r="I322" s="51"/>
      <c r="J322" s="49"/>
      <c r="K322" s="49"/>
    </row>
    <row r="323" ht="22.5" customHeight="1">
      <c r="A323" s="37">
        <v>321.0</v>
      </c>
      <c r="B323" s="55" t="s">
        <v>685</v>
      </c>
      <c r="C323" s="130"/>
      <c r="D323" s="78">
        <v>45874.0</v>
      </c>
      <c r="E323" s="61">
        <v>10000.0</v>
      </c>
      <c r="F323" s="130"/>
      <c r="G323" s="61">
        <v>10000.0</v>
      </c>
      <c r="H323" s="94"/>
      <c r="I323" s="51"/>
      <c r="J323" s="49"/>
      <c r="K323" s="49"/>
    </row>
    <row r="324" ht="22.5" customHeight="1">
      <c r="A324" s="55">
        <v>322.0</v>
      </c>
      <c r="B324" s="55" t="s">
        <v>686</v>
      </c>
      <c r="C324" s="130"/>
      <c r="D324" s="78">
        <v>45875.0</v>
      </c>
      <c r="E324" s="61">
        <v>40000.0</v>
      </c>
      <c r="F324" s="130"/>
      <c r="G324" s="61">
        <v>40000.0</v>
      </c>
      <c r="H324" s="94"/>
      <c r="I324" s="51"/>
      <c r="J324" s="49"/>
      <c r="K324" s="49"/>
    </row>
    <row r="325" ht="22.5" customHeight="1">
      <c r="A325" s="37">
        <v>323.0</v>
      </c>
      <c r="B325" s="55" t="s">
        <v>109</v>
      </c>
      <c r="C325" s="130"/>
      <c r="D325" s="78">
        <v>45875.0</v>
      </c>
      <c r="E325" s="61">
        <v>13672.0</v>
      </c>
      <c r="F325" s="130"/>
      <c r="G325" s="61">
        <v>13672.0</v>
      </c>
      <c r="H325" s="94"/>
      <c r="I325" s="51"/>
      <c r="J325" s="49"/>
      <c r="K325" s="49"/>
    </row>
    <row r="326" ht="22.5" customHeight="1">
      <c r="A326" s="55">
        <v>324.0</v>
      </c>
      <c r="B326" s="55" t="s">
        <v>109</v>
      </c>
      <c r="C326" s="130"/>
      <c r="D326" s="78">
        <v>45875.0</v>
      </c>
      <c r="E326" s="61">
        <v>5447.0</v>
      </c>
      <c r="F326" s="130"/>
      <c r="G326" s="61">
        <v>5447.0</v>
      </c>
      <c r="H326" s="94"/>
      <c r="I326" s="51"/>
      <c r="J326" s="49"/>
      <c r="K326" s="49"/>
    </row>
    <row r="327" ht="22.5" customHeight="1">
      <c r="A327" s="37">
        <v>325.0</v>
      </c>
      <c r="B327" s="55" t="s">
        <v>109</v>
      </c>
      <c r="C327" s="130"/>
      <c r="D327" s="78">
        <v>45875.0</v>
      </c>
      <c r="E327" s="61">
        <v>17049.0</v>
      </c>
      <c r="F327" s="130"/>
      <c r="G327" s="61">
        <v>17049.0</v>
      </c>
      <c r="H327" s="94"/>
      <c r="I327" s="51"/>
      <c r="J327" s="49"/>
      <c r="K327" s="49"/>
    </row>
    <row r="328" ht="22.5" customHeight="1">
      <c r="A328" s="55">
        <v>326.0</v>
      </c>
      <c r="B328" s="55" t="s">
        <v>109</v>
      </c>
      <c r="C328" s="130"/>
      <c r="D328" s="78">
        <v>45876.0</v>
      </c>
      <c r="E328" s="61">
        <v>22833.0</v>
      </c>
      <c r="F328" s="130"/>
      <c r="G328" s="61">
        <v>22833.0</v>
      </c>
      <c r="H328" s="94"/>
      <c r="I328" s="51"/>
      <c r="J328" s="49"/>
      <c r="K328" s="49"/>
    </row>
    <row r="329" ht="22.5" customHeight="1">
      <c r="A329" s="37">
        <v>327.0</v>
      </c>
      <c r="B329" s="55" t="s">
        <v>109</v>
      </c>
      <c r="C329" s="130"/>
      <c r="D329" s="78">
        <v>45876.0</v>
      </c>
      <c r="E329" s="61">
        <v>8315.0</v>
      </c>
      <c r="F329" s="130"/>
      <c r="G329" s="61">
        <v>8315.0</v>
      </c>
      <c r="H329" s="94"/>
      <c r="I329" s="51"/>
      <c r="J329" s="49"/>
      <c r="K329" s="49"/>
    </row>
    <row r="330" ht="22.5" customHeight="1">
      <c r="A330" s="55">
        <v>328.0</v>
      </c>
      <c r="B330" s="55" t="s">
        <v>109</v>
      </c>
      <c r="C330" s="130"/>
      <c r="D330" s="78">
        <v>45876.0</v>
      </c>
      <c r="E330" s="61">
        <v>5866.0</v>
      </c>
      <c r="F330" s="130"/>
      <c r="G330" s="61">
        <v>5866.0</v>
      </c>
      <c r="H330" s="94"/>
      <c r="I330" s="51"/>
      <c r="J330" s="49"/>
      <c r="K330" s="49"/>
    </row>
    <row r="331" ht="22.5" customHeight="1">
      <c r="A331" s="37">
        <v>329.0</v>
      </c>
      <c r="B331" s="55" t="s">
        <v>118</v>
      </c>
      <c r="C331" s="130"/>
      <c r="D331" s="78">
        <v>45877.0</v>
      </c>
      <c r="E331" s="61">
        <v>455.93</v>
      </c>
      <c r="F331" s="130"/>
      <c r="G331" s="61">
        <v>455.93</v>
      </c>
      <c r="H331" s="94"/>
      <c r="I331" s="51"/>
      <c r="J331" s="49"/>
      <c r="K331" s="49"/>
    </row>
    <row r="332" ht="22.5" customHeight="1">
      <c r="A332" s="55">
        <v>330.0</v>
      </c>
      <c r="B332" s="55" t="s">
        <v>91</v>
      </c>
      <c r="C332" s="130"/>
      <c r="D332" s="78">
        <v>45878.0</v>
      </c>
      <c r="E332" s="61">
        <v>9187.0</v>
      </c>
      <c r="F332" s="130"/>
      <c r="G332" s="61">
        <v>9187.0</v>
      </c>
      <c r="H332" s="94"/>
      <c r="I332" s="51"/>
      <c r="J332" s="49"/>
      <c r="K332" s="49"/>
    </row>
    <row r="333" ht="22.5" customHeight="1">
      <c r="A333" s="37">
        <v>331.0</v>
      </c>
      <c r="B333" s="55" t="s">
        <v>686</v>
      </c>
      <c r="C333" s="130"/>
      <c r="D333" s="78">
        <v>45878.0</v>
      </c>
      <c r="E333" s="61">
        <v>60000.0</v>
      </c>
      <c r="F333" s="130"/>
      <c r="G333" s="61">
        <v>60000.0</v>
      </c>
      <c r="H333" s="94"/>
      <c r="I333" s="51"/>
      <c r="J333" s="49"/>
      <c r="K333" s="49"/>
    </row>
    <row r="334" ht="22.5" customHeight="1">
      <c r="A334" s="55">
        <v>332.0</v>
      </c>
      <c r="B334" s="55" t="s">
        <v>541</v>
      </c>
      <c r="C334" s="130"/>
      <c r="D334" s="78">
        <v>45878.0</v>
      </c>
      <c r="E334" s="61">
        <v>12513.0</v>
      </c>
      <c r="F334" s="130"/>
      <c r="G334" s="61">
        <v>12513.0</v>
      </c>
      <c r="H334" s="94"/>
      <c r="I334" s="51"/>
      <c r="J334" s="49"/>
      <c r="K334" s="49"/>
    </row>
    <row r="335" ht="22.5" customHeight="1">
      <c r="A335" s="37">
        <v>333.0</v>
      </c>
      <c r="B335" s="55" t="s">
        <v>109</v>
      </c>
      <c r="C335" s="130"/>
      <c r="D335" s="78">
        <v>45879.0</v>
      </c>
      <c r="E335" s="61">
        <v>5907.0</v>
      </c>
      <c r="F335" s="130"/>
      <c r="G335" s="61">
        <v>5907.0</v>
      </c>
      <c r="H335" s="94"/>
      <c r="I335" s="51"/>
      <c r="J335" s="49"/>
      <c r="K335" s="49"/>
    </row>
    <row r="336" ht="22.5" customHeight="1">
      <c r="A336" s="55">
        <v>334.0</v>
      </c>
      <c r="B336" s="55" t="s">
        <v>356</v>
      </c>
      <c r="C336" s="130"/>
      <c r="D336" s="78">
        <v>45880.0</v>
      </c>
      <c r="E336" s="61">
        <v>75000.0</v>
      </c>
      <c r="F336" s="130"/>
      <c r="G336" s="61">
        <v>75000.0</v>
      </c>
      <c r="H336" s="94"/>
      <c r="I336" s="51"/>
      <c r="J336" s="49"/>
      <c r="K336" s="49"/>
    </row>
    <row r="337" ht="22.5" customHeight="1">
      <c r="A337" s="37">
        <v>335.0</v>
      </c>
      <c r="B337" s="55" t="s">
        <v>225</v>
      </c>
      <c r="C337" s="130"/>
      <c r="D337" s="78">
        <v>45880.0</v>
      </c>
      <c r="E337" s="61">
        <v>49534.0</v>
      </c>
      <c r="F337" s="130"/>
      <c r="G337" s="61">
        <v>49534.0</v>
      </c>
      <c r="H337" s="94"/>
      <c r="I337" s="51"/>
      <c r="J337" s="49"/>
      <c r="K337" s="49"/>
    </row>
    <row r="338" ht="22.5" customHeight="1">
      <c r="A338" s="55">
        <v>336.0</v>
      </c>
      <c r="B338" s="55" t="s">
        <v>356</v>
      </c>
      <c r="C338" s="130"/>
      <c r="D338" s="78">
        <v>45880.0</v>
      </c>
      <c r="E338" s="61">
        <v>75000.0</v>
      </c>
      <c r="F338" s="130"/>
      <c r="G338" s="61">
        <v>75000.0</v>
      </c>
      <c r="H338" s="94"/>
      <c r="I338" s="51"/>
      <c r="J338" s="49"/>
      <c r="K338" s="49"/>
    </row>
    <row r="339" ht="22.5" customHeight="1">
      <c r="A339" s="37">
        <v>337.0</v>
      </c>
      <c r="B339" s="55" t="s">
        <v>686</v>
      </c>
      <c r="C339" s="130"/>
      <c r="D339" s="78">
        <v>45880.0</v>
      </c>
      <c r="E339" s="61">
        <v>400000.0</v>
      </c>
      <c r="F339" s="130"/>
      <c r="G339" s="61">
        <v>400000.0</v>
      </c>
      <c r="H339" s="94"/>
      <c r="I339" s="51"/>
      <c r="J339" s="49"/>
      <c r="K339" s="49"/>
    </row>
    <row r="340" ht="22.5" customHeight="1">
      <c r="A340" s="55">
        <v>338.0</v>
      </c>
      <c r="B340" s="55" t="s">
        <v>687</v>
      </c>
      <c r="C340" s="130"/>
      <c r="D340" s="78">
        <v>45880.0</v>
      </c>
      <c r="E340" s="61">
        <v>8100.0</v>
      </c>
      <c r="F340" s="130"/>
      <c r="G340" s="61">
        <v>8100.0</v>
      </c>
      <c r="H340" s="94"/>
      <c r="I340" s="51"/>
      <c r="J340" s="49"/>
      <c r="K340" s="49"/>
    </row>
    <row r="341" ht="22.5" customHeight="1">
      <c r="A341" s="37">
        <v>339.0</v>
      </c>
      <c r="B341" s="55" t="s">
        <v>688</v>
      </c>
      <c r="C341" s="130"/>
      <c r="D341" s="78">
        <v>45880.0</v>
      </c>
      <c r="E341" s="61">
        <v>13500.0</v>
      </c>
      <c r="F341" s="130"/>
      <c r="G341" s="61">
        <v>13500.0</v>
      </c>
      <c r="H341" s="94"/>
      <c r="I341" s="51"/>
      <c r="J341" s="49"/>
      <c r="K341" s="49"/>
    </row>
    <row r="342" ht="22.5" customHeight="1">
      <c r="A342" s="55">
        <v>340.0</v>
      </c>
      <c r="B342" s="55" t="s">
        <v>689</v>
      </c>
      <c r="C342" s="130"/>
      <c r="D342" s="78">
        <v>45881.0</v>
      </c>
      <c r="E342" s="61">
        <v>1828.09</v>
      </c>
      <c r="F342" s="130"/>
      <c r="G342" s="61">
        <v>1828.09</v>
      </c>
      <c r="H342" s="94"/>
      <c r="I342" s="51"/>
      <c r="J342" s="49"/>
      <c r="K342" s="49"/>
    </row>
    <row r="343" ht="22.5" customHeight="1">
      <c r="A343" s="37">
        <v>341.0</v>
      </c>
      <c r="B343" s="55" t="s">
        <v>686</v>
      </c>
      <c r="C343" s="130"/>
      <c r="D343" s="78">
        <v>45881.0</v>
      </c>
      <c r="E343" s="61">
        <v>300000.0</v>
      </c>
      <c r="F343" s="130"/>
      <c r="G343" s="61">
        <v>300000.0</v>
      </c>
      <c r="H343" s="94"/>
      <c r="I343" s="51"/>
      <c r="J343" s="49"/>
      <c r="K343" s="49"/>
    </row>
    <row r="344" ht="22.5" customHeight="1">
      <c r="A344" s="55">
        <v>342.0</v>
      </c>
      <c r="B344" s="55" t="s">
        <v>690</v>
      </c>
      <c r="C344" s="130"/>
      <c r="D344" s="78">
        <v>45882.0</v>
      </c>
      <c r="E344" s="61">
        <v>15800.0</v>
      </c>
      <c r="F344" s="130"/>
      <c r="G344" s="61">
        <v>15800.0</v>
      </c>
      <c r="H344" s="94"/>
      <c r="I344" s="51"/>
      <c r="J344" s="49"/>
      <c r="K344" s="49"/>
    </row>
    <row r="345" ht="22.5" customHeight="1">
      <c r="A345" s="37">
        <v>343.0</v>
      </c>
      <c r="B345" s="55" t="s">
        <v>691</v>
      </c>
      <c r="C345" s="130"/>
      <c r="D345" s="78">
        <v>45882.0</v>
      </c>
      <c r="E345" s="61">
        <v>55570.0</v>
      </c>
      <c r="F345" s="130"/>
      <c r="G345" s="61">
        <v>55570.0</v>
      </c>
      <c r="H345" s="94"/>
      <c r="I345" s="51"/>
      <c r="J345" s="49"/>
      <c r="K345" s="49"/>
    </row>
    <row r="346" ht="22.5" customHeight="1">
      <c r="A346" s="55">
        <v>344.0</v>
      </c>
      <c r="B346" s="55" t="s">
        <v>692</v>
      </c>
      <c r="C346" s="130"/>
      <c r="D346" s="78">
        <v>45882.0</v>
      </c>
      <c r="E346" s="61">
        <v>44334.0</v>
      </c>
      <c r="F346" s="130"/>
      <c r="G346" s="61">
        <v>44334.0</v>
      </c>
      <c r="H346" s="94"/>
      <c r="I346" s="51"/>
      <c r="J346" s="49"/>
      <c r="K346" s="49"/>
    </row>
    <row r="347" ht="22.5" customHeight="1">
      <c r="A347" s="37">
        <v>345.0</v>
      </c>
      <c r="B347" s="55" t="s">
        <v>415</v>
      </c>
      <c r="C347" s="130"/>
      <c r="D347" s="78">
        <v>45882.0</v>
      </c>
      <c r="E347" s="61">
        <v>37800.0</v>
      </c>
      <c r="F347" s="55">
        <v>3500.0</v>
      </c>
      <c r="G347" s="61">
        <f>E347+F347</f>
        <v>41300</v>
      </c>
      <c r="H347" s="94"/>
      <c r="I347" s="51"/>
      <c r="J347" s="49"/>
      <c r="K347" s="49"/>
    </row>
    <row r="348" ht="22.5" customHeight="1">
      <c r="A348" s="55">
        <v>346.0</v>
      </c>
      <c r="B348" s="55" t="s">
        <v>356</v>
      </c>
      <c r="C348" s="130"/>
      <c r="D348" s="78">
        <v>45882.0</v>
      </c>
      <c r="E348" s="61">
        <v>50000.0</v>
      </c>
      <c r="F348" s="130"/>
      <c r="G348" s="61">
        <v>50000.0</v>
      </c>
      <c r="H348" s="94"/>
      <c r="I348" s="51"/>
      <c r="J348" s="49"/>
      <c r="K348" s="49"/>
    </row>
    <row r="349" ht="22.5" customHeight="1">
      <c r="A349" s="37">
        <v>347.0</v>
      </c>
      <c r="B349" s="55" t="s">
        <v>693</v>
      </c>
      <c r="C349" s="130"/>
      <c r="D349" s="78">
        <v>45883.0</v>
      </c>
      <c r="E349" s="61">
        <v>27376.0</v>
      </c>
      <c r="F349" s="130"/>
      <c r="G349" s="61">
        <v>27376.0</v>
      </c>
      <c r="H349" s="94"/>
      <c r="I349" s="51"/>
      <c r="J349" s="49"/>
      <c r="K349" s="49"/>
    </row>
    <row r="350" ht="22.5" customHeight="1">
      <c r="A350" s="55">
        <v>348.0</v>
      </c>
      <c r="B350" s="55" t="s">
        <v>272</v>
      </c>
      <c r="C350" s="130"/>
      <c r="D350" s="78">
        <v>45887.0</v>
      </c>
      <c r="E350" s="61">
        <v>3010.05</v>
      </c>
      <c r="F350" s="130"/>
      <c r="G350" s="61">
        <v>3010.05</v>
      </c>
      <c r="H350" s="94"/>
      <c r="I350" s="51"/>
      <c r="J350" s="49"/>
      <c r="K350" s="49"/>
    </row>
    <row r="351" ht="22.5" customHeight="1">
      <c r="A351" s="37">
        <v>349.0</v>
      </c>
      <c r="B351" s="55" t="s">
        <v>694</v>
      </c>
      <c r="C351" s="130"/>
      <c r="D351" s="78">
        <v>45887.0</v>
      </c>
      <c r="E351" s="61">
        <v>2645.18</v>
      </c>
      <c r="F351" s="130"/>
      <c r="G351" s="61">
        <v>2645.18</v>
      </c>
      <c r="H351" s="94"/>
      <c r="I351" s="51"/>
      <c r="J351" s="49"/>
      <c r="K351" s="49"/>
    </row>
    <row r="352" ht="22.5" customHeight="1">
      <c r="A352" s="55">
        <v>350.0</v>
      </c>
      <c r="B352" s="55" t="s">
        <v>695</v>
      </c>
      <c r="C352" s="130"/>
      <c r="D352" s="78">
        <v>45887.0</v>
      </c>
      <c r="E352" s="61">
        <v>8209.22</v>
      </c>
      <c r="F352" s="130"/>
      <c r="G352" s="61">
        <v>8209.22</v>
      </c>
      <c r="H352" s="94"/>
      <c r="I352" s="51"/>
      <c r="J352" s="49"/>
      <c r="K352" s="49"/>
    </row>
    <row r="353" ht="22.5" customHeight="1">
      <c r="A353" s="37">
        <v>351.0</v>
      </c>
      <c r="B353" s="55" t="s">
        <v>696</v>
      </c>
      <c r="C353" s="130"/>
      <c r="D353" s="78">
        <v>45888.0</v>
      </c>
      <c r="E353" s="61">
        <v>5150.0</v>
      </c>
      <c r="F353" s="130"/>
      <c r="G353" s="61">
        <v>5150.0</v>
      </c>
      <c r="H353" s="94"/>
      <c r="I353" s="51"/>
      <c r="J353" s="49"/>
      <c r="K353" s="49"/>
    </row>
    <row r="354" ht="22.5" customHeight="1">
      <c r="A354" s="55">
        <v>352.0</v>
      </c>
      <c r="B354" s="55" t="s">
        <v>697</v>
      </c>
      <c r="C354" s="130"/>
      <c r="D354" s="78">
        <v>45888.0</v>
      </c>
      <c r="E354" s="61">
        <v>23600.0</v>
      </c>
      <c r="F354" s="130"/>
      <c r="G354" s="61">
        <v>23600.0</v>
      </c>
      <c r="H354" s="94"/>
      <c r="I354" s="51"/>
      <c r="J354" s="49"/>
      <c r="K354" s="49"/>
    </row>
    <row r="355" ht="22.5" customHeight="1">
      <c r="A355" s="37">
        <v>353.0</v>
      </c>
      <c r="B355" s="55" t="s">
        <v>698</v>
      </c>
      <c r="C355" s="130"/>
      <c r="D355" s="78">
        <v>45888.0</v>
      </c>
      <c r="E355" s="61">
        <v>8750.0</v>
      </c>
      <c r="F355" s="130"/>
      <c r="G355" s="61">
        <v>8750.0</v>
      </c>
      <c r="H355" s="94"/>
      <c r="I355" s="51"/>
      <c r="J355" s="49"/>
      <c r="K355" s="49"/>
    </row>
    <row r="356" ht="22.5" customHeight="1">
      <c r="A356" s="55">
        <v>354.0</v>
      </c>
      <c r="B356" s="55" t="s">
        <v>699</v>
      </c>
      <c r="C356" s="130"/>
      <c r="D356" s="78">
        <v>45888.0</v>
      </c>
      <c r="E356" s="61">
        <v>12000.0</v>
      </c>
      <c r="F356" s="130"/>
      <c r="G356" s="61">
        <v>12000.0</v>
      </c>
      <c r="H356" s="94"/>
      <c r="I356" s="51"/>
      <c r="J356" s="49"/>
      <c r="K356" s="49"/>
    </row>
    <row r="357" ht="22.5" customHeight="1">
      <c r="A357" s="37">
        <v>355.0</v>
      </c>
      <c r="B357" s="55" t="s">
        <v>700</v>
      </c>
      <c r="C357" s="130"/>
      <c r="D357" s="78">
        <v>45888.0</v>
      </c>
      <c r="E357" s="61">
        <v>7224.0</v>
      </c>
      <c r="F357" s="130"/>
      <c r="G357" s="61">
        <v>7224.0</v>
      </c>
      <c r="H357" s="94"/>
      <c r="I357" s="51"/>
      <c r="J357" s="49"/>
      <c r="K357" s="49"/>
    </row>
    <row r="358" ht="22.5" customHeight="1">
      <c r="A358" s="55">
        <v>356.0</v>
      </c>
      <c r="B358" s="55" t="s">
        <v>700</v>
      </c>
      <c r="C358" s="130"/>
      <c r="D358" s="78">
        <v>45888.0</v>
      </c>
      <c r="E358" s="61">
        <v>5754.0</v>
      </c>
      <c r="F358" s="130"/>
      <c r="G358" s="61">
        <v>5754.0</v>
      </c>
      <c r="H358" s="94"/>
      <c r="I358" s="51"/>
      <c r="J358" s="49"/>
      <c r="K358" s="49"/>
    </row>
    <row r="359" ht="22.5" customHeight="1">
      <c r="A359" s="37">
        <v>357.0</v>
      </c>
      <c r="B359" s="55" t="s">
        <v>700</v>
      </c>
      <c r="C359" s="130"/>
      <c r="D359" s="78">
        <v>45888.0</v>
      </c>
      <c r="E359" s="61">
        <v>22651.0</v>
      </c>
      <c r="F359" s="130"/>
      <c r="G359" s="61">
        <v>22651.0</v>
      </c>
      <c r="H359" s="94"/>
      <c r="I359" s="51"/>
      <c r="J359" s="49"/>
      <c r="K359" s="49"/>
    </row>
    <row r="360" ht="22.5" customHeight="1">
      <c r="A360" s="55">
        <v>358.0</v>
      </c>
      <c r="B360" s="55" t="s">
        <v>700</v>
      </c>
      <c r="C360" s="130"/>
      <c r="D360" s="78">
        <v>45888.0</v>
      </c>
      <c r="E360" s="61">
        <v>13570.0</v>
      </c>
      <c r="F360" s="130"/>
      <c r="G360" s="61">
        <v>13570.0</v>
      </c>
      <c r="H360" s="94"/>
      <c r="I360" s="51"/>
      <c r="J360" s="49"/>
      <c r="K360" s="49"/>
    </row>
    <row r="361" ht="22.5" customHeight="1">
      <c r="A361" s="37">
        <v>359.0</v>
      </c>
      <c r="B361" s="55" t="s">
        <v>701</v>
      </c>
      <c r="C361" s="130"/>
      <c r="D361" s="78">
        <v>45888.0</v>
      </c>
      <c r="E361" s="61">
        <v>28450.0</v>
      </c>
      <c r="F361" s="130"/>
      <c r="G361" s="61">
        <v>28450.0</v>
      </c>
      <c r="H361" s="94"/>
      <c r="I361" s="51"/>
      <c r="J361" s="49"/>
      <c r="K361" s="49"/>
    </row>
    <row r="362" ht="22.5" customHeight="1">
      <c r="A362" s="55">
        <v>360.0</v>
      </c>
      <c r="B362" s="55" t="s">
        <v>702</v>
      </c>
      <c r="C362" s="130"/>
      <c r="D362" s="78">
        <v>45888.0</v>
      </c>
      <c r="E362" s="61">
        <v>15000.0</v>
      </c>
      <c r="F362" s="130"/>
      <c r="G362" s="61">
        <v>15000.0</v>
      </c>
      <c r="H362" s="94"/>
      <c r="I362" s="51"/>
      <c r="J362" s="49"/>
      <c r="K362" s="49"/>
    </row>
    <row r="363" ht="22.5" customHeight="1">
      <c r="A363" s="37">
        <v>361.0</v>
      </c>
      <c r="B363" s="55" t="s">
        <v>686</v>
      </c>
      <c r="C363" s="130"/>
      <c r="D363" s="78">
        <v>45888.0</v>
      </c>
      <c r="E363" s="61">
        <v>324104.0</v>
      </c>
      <c r="F363" s="130"/>
      <c r="G363" s="61">
        <v>324104.0</v>
      </c>
      <c r="H363" s="94"/>
      <c r="I363" s="51"/>
      <c r="J363" s="49"/>
      <c r="K363" s="49"/>
    </row>
    <row r="364" ht="22.5" customHeight="1">
      <c r="A364" s="55">
        <v>362.0</v>
      </c>
      <c r="B364" s="55" t="s">
        <v>703</v>
      </c>
      <c r="C364" s="130"/>
      <c r="D364" s="78">
        <v>45889.0</v>
      </c>
      <c r="E364" s="61">
        <v>3175.75</v>
      </c>
      <c r="F364" s="130"/>
      <c r="G364" s="61">
        <v>3175.75</v>
      </c>
      <c r="H364" s="94"/>
      <c r="I364" s="51"/>
      <c r="J364" s="49"/>
      <c r="K364" s="49"/>
    </row>
    <row r="365" ht="22.5" customHeight="1">
      <c r="A365" s="37">
        <v>363.0</v>
      </c>
      <c r="B365" s="55" t="s">
        <v>289</v>
      </c>
      <c r="C365" s="130"/>
      <c r="D365" s="78">
        <v>45889.0</v>
      </c>
      <c r="E365" s="61">
        <v>1642.15</v>
      </c>
      <c r="F365" s="130"/>
      <c r="G365" s="61">
        <v>1642.15</v>
      </c>
      <c r="H365" s="94"/>
      <c r="I365" s="51"/>
      <c r="J365" s="49"/>
      <c r="K365" s="49"/>
    </row>
    <row r="366" ht="22.5" customHeight="1">
      <c r="A366" s="55">
        <v>364.0</v>
      </c>
      <c r="B366" s="55" t="s">
        <v>289</v>
      </c>
      <c r="C366" s="130"/>
      <c r="D366" s="78">
        <v>45889.0</v>
      </c>
      <c r="E366" s="61">
        <v>2052.94</v>
      </c>
      <c r="F366" s="130"/>
      <c r="G366" s="61">
        <v>2052.94</v>
      </c>
      <c r="H366" s="94"/>
      <c r="I366" s="51"/>
      <c r="J366" s="49"/>
      <c r="K366" s="49"/>
    </row>
    <row r="367" ht="22.5" customHeight="1">
      <c r="A367" s="37">
        <v>365.0</v>
      </c>
      <c r="B367" s="55" t="s">
        <v>142</v>
      </c>
      <c r="C367" s="130"/>
      <c r="D367" s="78">
        <v>45890.0</v>
      </c>
      <c r="E367" s="61">
        <v>115787.0</v>
      </c>
      <c r="F367" s="130"/>
      <c r="G367" s="61">
        <f>E367+F367</f>
        <v>115787</v>
      </c>
      <c r="H367" s="94"/>
      <c r="I367" s="51"/>
      <c r="J367" s="51" t="s">
        <v>704</v>
      </c>
      <c r="K367" s="49"/>
    </row>
    <row r="368" ht="22.5" customHeight="1">
      <c r="A368" s="55">
        <v>366.0</v>
      </c>
      <c r="B368" s="174" t="s">
        <v>53</v>
      </c>
      <c r="C368" s="204"/>
      <c r="D368" s="175">
        <v>45894.0</v>
      </c>
      <c r="E368" s="176">
        <v>418043.0</v>
      </c>
      <c r="F368" s="204"/>
      <c r="G368" s="176">
        <v>418043.0</v>
      </c>
      <c r="H368" s="94"/>
      <c r="I368" s="51"/>
      <c r="J368" s="94"/>
      <c r="K368" s="94"/>
    </row>
    <row r="369" ht="22.5" customHeight="1">
      <c r="A369" s="37">
        <v>367.0</v>
      </c>
      <c r="B369" s="55" t="s">
        <v>225</v>
      </c>
      <c r="C369" s="130"/>
      <c r="D369" s="78">
        <v>45895.0</v>
      </c>
      <c r="E369" s="61">
        <v>51368.0</v>
      </c>
      <c r="F369" s="130"/>
      <c r="G369" s="61">
        <f t="shared" ref="G369:G414" si="2">E369+F369</f>
        <v>51368</v>
      </c>
      <c r="H369" s="94"/>
      <c r="I369" s="51"/>
      <c r="J369" s="94"/>
      <c r="K369" s="94"/>
    </row>
    <row r="370" ht="22.5" customHeight="1">
      <c r="A370" s="55">
        <v>368.0</v>
      </c>
      <c r="B370" s="55" t="s">
        <v>705</v>
      </c>
      <c r="C370" s="130"/>
      <c r="D370" s="78">
        <v>45895.0</v>
      </c>
      <c r="E370" s="61">
        <v>23908.0</v>
      </c>
      <c r="F370" s="130"/>
      <c r="G370" s="61">
        <f t="shared" si="2"/>
        <v>23908</v>
      </c>
      <c r="H370" s="94"/>
      <c r="I370" s="51"/>
      <c r="J370" s="94"/>
      <c r="K370" s="94"/>
    </row>
    <row r="371" ht="22.5" customHeight="1">
      <c r="A371" s="37">
        <v>369.0</v>
      </c>
      <c r="B371" s="55" t="s">
        <v>706</v>
      </c>
      <c r="C371" s="130"/>
      <c r="D371" s="78">
        <v>45895.0</v>
      </c>
      <c r="E371" s="61">
        <v>3256.0</v>
      </c>
      <c r="F371" s="130"/>
      <c r="G371" s="61">
        <f t="shared" si="2"/>
        <v>3256</v>
      </c>
      <c r="H371" s="94"/>
      <c r="I371" s="51"/>
      <c r="J371" s="94"/>
      <c r="K371" s="94"/>
    </row>
    <row r="372" ht="22.5" customHeight="1">
      <c r="A372" s="55">
        <v>370.0</v>
      </c>
      <c r="B372" s="55" t="s">
        <v>707</v>
      </c>
      <c r="C372" s="130"/>
      <c r="D372" s="78">
        <v>45895.0</v>
      </c>
      <c r="E372" s="61">
        <v>14000.0</v>
      </c>
      <c r="F372" s="130"/>
      <c r="G372" s="61">
        <f t="shared" si="2"/>
        <v>14000</v>
      </c>
      <c r="H372" s="94"/>
      <c r="I372" s="51"/>
      <c r="J372" s="94"/>
      <c r="K372" s="94"/>
    </row>
    <row r="373" ht="22.5" customHeight="1">
      <c r="A373" s="37">
        <v>371.0</v>
      </c>
      <c r="B373" s="55" t="s">
        <v>541</v>
      </c>
      <c r="C373" s="130"/>
      <c r="D373" s="78">
        <v>45895.0</v>
      </c>
      <c r="E373" s="61">
        <v>20531.0</v>
      </c>
      <c r="F373" s="130"/>
      <c r="G373" s="61">
        <f t="shared" si="2"/>
        <v>20531</v>
      </c>
      <c r="H373" s="94"/>
      <c r="I373" s="51"/>
      <c r="J373" s="94"/>
      <c r="K373" s="94"/>
    </row>
    <row r="374" ht="22.5" customHeight="1">
      <c r="A374" s="55">
        <v>372.0</v>
      </c>
      <c r="B374" s="55" t="s">
        <v>708</v>
      </c>
      <c r="C374" s="130"/>
      <c r="D374" s="78">
        <v>45895.0</v>
      </c>
      <c r="E374" s="61">
        <v>13232.0</v>
      </c>
      <c r="F374" s="130"/>
      <c r="G374" s="61">
        <f t="shared" si="2"/>
        <v>13232</v>
      </c>
      <c r="H374" s="94"/>
      <c r="I374" s="51"/>
      <c r="J374" s="94"/>
      <c r="K374" s="94"/>
    </row>
    <row r="375" ht="22.5" customHeight="1">
      <c r="A375" s="37">
        <v>373.0</v>
      </c>
      <c r="B375" s="55" t="s">
        <v>109</v>
      </c>
      <c r="C375" s="130"/>
      <c r="D375" s="78">
        <v>45896.0</v>
      </c>
      <c r="E375" s="61">
        <v>27638.0</v>
      </c>
      <c r="F375" s="130"/>
      <c r="G375" s="61">
        <f t="shared" si="2"/>
        <v>27638</v>
      </c>
      <c r="H375" s="94"/>
      <c r="I375" s="51"/>
      <c r="J375" s="94"/>
      <c r="K375" s="94"/>
    </row>
    <row r="376" ht="22.5" customHeight="1">
      <c r="A376" s="55">
        <v>374.0</v>
      </c>
      <c r="B376" s="55" t="s">
        <v>686</v>
      </c>
      <c r="C376" s="130"/>
      <c r="D376" s="78">
        <v>45898.0</v>
      </c>
      <c r="E376" s="61">
        <v>100000.0</v>
      </c>
      <c r="F376" s="130"/>
      <c r="G376" s="61">
        <f t="shared" si="2"/>
        <v>100000</v>
      </c>
      <c r="H376" s="94"/>
      <c r="I376" s="51"/>
      <c r="J376" s="94"/>
      <c r="K376" s="94"/>
    </row>
    <row r="377" ht="22.5" customHeight="1">
      <c r="A377" s="37">
        <v>375.0</v>
      </c>
      <c r="B377" s="51" t="s">
        <v>293</v>
      </c>
      <c r="C377" s="130"/>
      <c r="D377" s="78">
        <v>45898.0</v>
      </c>
      <c r="E377" s="61">
        <v>16431.0</v>
      </c>
      <c r="F377" s="130"/>
      <c r="G377" s="61">
        <f t="shared" si="2"/>
        <v>16431</v>
      </c>
      <c r="H377" s="94"/>
      <c r="I377" s="51"/>
      <c r="J377" s="94"/>
      <c r="K377" s="94"/>
    </row>
    <row r="378" ht="22.5" customHeight="1">
      <c r="A378" s="55">
        <v>376.0</v>
      </c>
      <c r="B378" s="55" t="s">
        <v>673</v>
      </c>
      <c r="C378" s="130"/>
      <c r="D378" s="78">
        <v>45899.0</v>
      </c>
      <c r="E378" s="61">
        <v>50000.0</v>
      </c>
      <c r="F378" s="130"/>
      <c r="G378" s="61">
        <f t="shared" si="2"/>
        <v>50000</v>
      </c>
      <c r="H378" s="94"/>
      <c r="I378" s="51"/>
      <c r="J378" s="94"/>
      <c r="K378" s="94"/>
    </row>
    <row r="379" ht="22.5" customHeight="1">
      <c r="A379" s="37">
        <v>377.0</v>
      </c>
      <c r="B379" s="55" t="s">
        <v>109</v>
      </c>
      <c r="C379" s="130"/>
      <c r="D379" s="78">
        <v>45900.0</v>
      </c>
      <c r="E379" s="61">
        <v>17040.0</v>
      </c>
      <c r="F379" s="130"/>
      <c r="G379" s="61">
        <f t="shared" si="2"/>
        <v>17040</v>
      </c>
      <c r="H379" s="94"/>
      <c r="I379" s="51"/>
      <c r="J379" s="94"/>
      <c r="K379" s="94"/>
    </row>
    <row r="380" ht="22.5" customHeight="1">
      <c r="A380" s="55">
        <v>378.0</v>
      </c>
      <c r="B380" s="55" t="s">
        <v>686</v>
      </c>
      <c r="C380" s="130"/>
      <c r="D380" s="78">
        <v>45901.0</v>
      </c>
      <c r="E380" s="61">
        <v>500000.0</v>
      </c>
      <c r="F380" s="130"/>
      <c r="G380" s="61">
        <f t="shared" si="2"/>
        <v>500000</v>
      </c>
      <c r="H380" s="94"/>
      <c r="I380" s="51"/>
      <c r="J380" s="94"/>
      <c r="K380" s="94"/>
    </row>
    <row r="381" ht="22.5" customHeight="1">
      <c r="A381" s="37">
        <v>379.0</v>
      </c>
      <c r="B381" s="55" t="s">
        <v>686</v>
      </c>
      <c r="C381" s="130"/>
      <c r="D381" s="78">
        <v>45902.0</v>
      </c>
      <c r="E381" s="61">
        <v>400000.0</v>
      </c>
      <c r="F381" s="130"/>
      <c r="G381" s="61">
        <f t="shared" si="2"/>
        <v>400000</v>
      </c>
      <c r="H381" s="94"/>
      <c r="I381" s="51"/>
      <c r="J381" s="94"/>
      <c r="K381" s="94"/>
    </row>
    <row r="382" ht="22.5" customHeight="1">
      <c r="A382" s="55">
        <v>380.0</v>
      </c>
      <c r="B382" s="55" t="s">
        <v>673</v>
      </c>
      <c r="C382" s="130"/>
      <c r="D382" s="78">
        <v>45902.0</v>
      </c>
      <c r="E382" s="61">
        <v>79360.0</v>
      </c>
      <c r="F382" s="130"/>
      <c r="G382" s="61">
        <f t="shared" si="2"/>
        <v>79360</v>
      </c>
      <c r="H382" s="94"/>
      <c r="I382" s="51"/>
      <c r="J382" s="94"/>
      <c r="K382" s="94"/>
    </row>
    <row r="383" ht="22.5" customHeight="1">
      <c r="A383" s="37">
        <v>381.0</v>
      </c>
      <c r="B383" s="55" t="s">
        <v>690</v>
      </c>
      <c r="C383" s="130"/>
      <c r="D383" s="78">
        <v>45902.0</v>
      </c>
      <c r="E383" s="61">
        <v>30500.0</v>
      </c>
      <c r="F383" s="130"/>
      <c r="G383" s="61">
        <f t="shared" si="2"/>
        <v>30500</v>
      </c>
      <c r="H383" s="94"/>
      <c r="I383" s="51"/>
      <c r="J383" s="94"/>
      <c r="K383" s="94"/>
    </row>
    <row r="384" ht="22.5" customHeight="1">
      <c r="A384" s="55">
        <v>382.0</v>
      </c>
      <c r="B384" s="55" t="s">
        <v>709</v>
      </c>
      <c r="C384" s="130"/>
      <c r="D384" s="78">
        <v>45902.0</v>
      </c>
      <c r="E384" s="61">
        <v>45000.0</v>
      </c>
      <c r="F384" s="130"/>
      <c r="G384" s="61">
        <f t="shared" si="2"/>
        <v>45000</v>
      </c>
      <c r="H384" s="94"/>
      <c r="I384" s="51"/>
      <c r="J384" s="94"/>
      <c r="K384" s="94"/>
    </row>
    <row r="385" ht="22.5" customHeight="1">
      <c r="A385" s="37">
        <v>383.0</v>
      </c>
      <c r="B385" s="55" t="s">
        <v>88</v>
      </c>
      <c r="C385" s="130"/>
      <c r="D385" s="78">
        <v>45902.0</v>
      </c>
      <c r="E385" s="61">
        <v>15000.0</v>
      </c>
      <c r="F385" s="130"/>
      <c r="G385" s="61">
        <f t="shared" si="2"/>
        <v>15000</v>
      </c>
      <c r="H385" s="94"/>
      <c r="I385" s="51"/>
      <c r="J385" s="94"/>
      <c r="K385" s="94"/>
    </row>
    <row r="386" ht="22.5" customHeight="1">
      <c r="A386" s="55">
        <v>384.0</v>
      </c>
      <c r="B386" s="55" t="s">
        <v>710</v>
      </c>
      <c r="C386" s="130"/>
      <c r="D386" s="78">
        <v>45904.0</v>
      </c>
      <c r="E386" s="61">
        <v>213.04</v>
      </c>
      <c r="F386" s="130"/>
      <c r="G386" s="61">
        <f t="shared" si="2"/>
        <v>213.04</v>
      </c>
      <c r="H386" s="94"/>
      <c r="I386" s="51"/>
      <c r="J386" s="94"/>
      <c r="K386" s="94"/>
    </row>
    <row r="387" ht="22.5" customHeight="1">
      <c r="A387" s="37">
        <v>385.0</v>
      </c>
      <c r="B387" s="55" t="s">
        <v>710</v>
      </c>
      <c r="C387" s="130"/>
      <c r="D387" s="78">
        <v>45904.0</v>
      </c>
      <c r="E387" s="61">
        <v>213.04</v>
      </c>
      <c r="F387" s="130"/>
      <c r="G387" s="61">
        <f t="shared" si="2"/>
        <v>213.04</v>
      </c>
      <c r="H387" s="94"/>
      <c r="I387" s="51"/>
      <c r="J387" s="94"/>
      <c r="K387" s="94"/>
    </row>
    <row r="388" ht="22.5" customHeight="1">
      <c r="A388" s="55">
        <v>386.0</v>
      </c>
      <c r="B388" s="55" t="s">
        <v>109</v>
      </c>
      <c r="C388" s="130"/>
      <c r="D388" s="78">
        <v>45904.0</v>
      </c>
      <c r="E388" s="61">
        <v>5658.0</v>
      </c>
      <c r="F388" s="130"/>
      <c r="G388" s="61">
        <f t="shared" si="2"/>
        <v>5658</v>
      </c>
      <c r="H388" s="94"/>
      <c r="I388" s="51"/>
      <c r="J388" s="94"/>
      <c r="K388" s="94"/>
    </row>
    <row r="389" ht="22.5" customHeight="1">
      <c r="A389" s="37">
        <v>387.0</v>
      </c>
      <c r="B389" s="55" t="s">
        <v>109</v>
      </c>
      <c r="C389" s="130"/>
      <c r="D389" s="78">
        <v>45904.0</v>
      </c>
      <c r="E389" s="61">
        <v>17260.0</v>
      </c>
      <c r="F389" s="130"/>
      <c r="G389" s="61">
        <f t="shared" si="2"/>
        <v>17260</v>
      </c>
      <c r="H389" s="94"/>
      <c r="I389" s="51"/>
      <c r="J389" s="94"/>
      <c r="K389" s="94"/>
    </row>
    <row r="390" ht="22.5" customHeight="1">
      <c r="A390" s="55">
        <v>388.0</v>
      </c>
      <c r="B390" s="55" t="s">
        <v>109</v>
      </c>
      <c r="C390" s="130"/>
      <c r="D390" s="78">
        <v>45904.0</v>
      </c>
      <c r="E390" s="61">
        <v>7061.0</v>
      </c>
      <c r="F390" s="130"/>
      <c r="G390" s="61">
        <f t="shared" si="2"/>
        <v>7061</v>
      </c>
      <c r="H390" s="94"/>
      <c r="I390" s="51"/>
      <c r="J390" s="94"/>
      <c r="K390" s="94"/>
    </row>
    <row r="391" ht="22.5" customHeight="1">
      <c r="A391" s="37">
        <v>389.0</v>
      </c>
      <c r="B391" s="55" t="s">
        <v>684</v>
      </c>
      <c r="C391" s="130"/>
      <c r="D391" s="78">
        <v>45905.0</v>
      </c>
      <c r="E391" s="61">
        <v>20600.0</v>
      </c>
      <c r="F391" s="130"/>
      <c r="G391" s="61">
        <f t="shared" si="2"/>
        <v>20600</v>
      </c>
      <c r="H391" s="94"/>
      <c r="I391" s="51"/>
      <c r="J391" s="94"/>
      <c r="K391" s="94"/>
    </row>
    <row r="392" ht="22.5" customHeight="1">
      <c r="A392" s="55">
        <v>390.0</v>
      </c>
      <c r="B392" s="55" t="s">
        <v>711</v>
      </c>
      <c r="C392" s="130"/>
      <c r="D392" s="78">
        <v>45905.0</v>
      </c>
      <c r="E392" s="61">
        <v>20000.0</v>
      </c>
      <c r="F392" s="130"/>
      <c r="G392" s="61">
        <f t="shared" si="2"/>
        <v>20000</v>
      </c>
      <c r="H392" s="94"/>
      <c r="I392" s="51"/>
      <c r="J392" s="94"/>
      <c r="K392" s="94"/>
    </row>
    <row r="393" ht="22.5" customHeight="1">
      <c r="A393" s="37">
        <v>391.0</v>
      </c>
      <c r="B393" s="55" t="s">
        <v>705</v>
      </c>
      <c r="C393" s="130"/>
      <c r="D393" s="78">
        <v>45905.0</v>
      </c>
      <c r="E393" s="61">
        <v>21344.0</v>
      </c>
      <c r="F393" s="130"/>
      <c r="G393" s="61">
        <f t="shared" si="2"/>
        <v>21344</v>
      </c>
      <c r="H393" s="94"/>
      <c r="I393" s="51"/>
      <c r="J393" s="94"/>
      <c r="K393" s="94"/>
    </row>
    <row r="394" ht="22.5" customHeight="1">
      <c r="A394" s="55">
        <v>392.0</v>
      </c>
      <c r="B394" s="55"/>
      <c r="C394" s="130"/>
      <c r="D394" s="78"/>
      <c r="E394" s="61"/>
      <c r="F394" s="130"/>
      <c r="G394" s="61">
        <f t="shared" si="2"/>
        <v>0</v>
      </c>
      <c r="H394" s="94"/>
      <c r="I394" s="51"/>
      <c r="J394" s="94"/>
      <c r="K394" s="94"/>
    </row>
    <row r="395" ht="22.5" customHeight="1">
      <c r="A395" s="37">
        <v>393.0</v>
      </c>
      <c r="B395" s="55" t="s">
        <v>435</v>
      </c>
      <c r="C395" s="55" t="s">
        <v>712</v>
      </c>
      <c r="D395" s="78">
        <v>45905.0</v>
      </c>
      <c r="E395" s="61">
        <v>384300.0</v>
      </c>
      <c r="F395" s="130"/>
      <c r="G395" s="61">
        <f t="shared" si="2"/>
        <v>384300</v>
      </c>
      <c r="H395" s="94"/>
      <c r="I395" s="51"/>
      <c r="J395" s="94"/>
      <c r="K395" s="94"/>
    </row>
    <row r="396" ht="22.5" customHeight="1">
      <c r="A396" s="55">
        <v>394.0</v>
      </c>
      <c r="B396" s="55" t="s">
        <v>713</v>
      </c>
      <c r="C396" s="130"/>
      <c r="D396" s="78">
        <v>45905.0</v>
      </c>
      <c r="E396" s="61">
        <v>45000.0</v>
      </c>
      <c r="F396" s="130"/>
      <c r="G396" s="61">
        <f t="shared" si="2"/>
        <v>45000</v>
      </c>
      <c r="H396" s="94"/>
      <c r="I396" s="51"/>
      <c r="J396" s="94"/>
      <c r="K396" s="94"/>
    </row>
    <row r="397" ht="22.5" customHeight="1">
      <c r="A397" s="37">
        <v>395.0</v>
      </c>
      <c r="B397" s="55" t="s">
        <v>78</v>
      </c>
      <c r="C397" s="130"/>
      <c r="D397" s="78">
        <v>45906.0</v>
      </c>
      <c r="E397" s="61">
        <v>13896.0</v>
      </c>
      <c r="F397" s="130"/>
      <c r="G397" s="61">
        <f t="shared" si="2"/>
        <v>13896</v>
      </c>
      <c r="H397" s="94"/>
      <c r="I397" s="51"/>
      <c r="J397" s="94"/>
      <c r="K397" s="94"/>
    </row>
    <row r="398" ht="22.5" customHeight="1">
      <c r="A398" s="55">
        <v>396.0</v>
      </c>
      <c r="B398" s="55" t="s">
        <v>714</v>
      </c>
      <c r="C398" s="130"/>
      <c r="D398" s="78">
        <v>45906.0</v>
      </c>
      <c r="E398" s="61">
        <v>10000.0</v>
      </c>
      <c r="F398" s="130"/>
      <c r="G398" s="61">
        <f t="shared" si="2"/>
        <v>10000</v>
      </c>
      <c r="H398" s="94"/>
      <c r="I398" s="51"/>
      <c r="J398" s="94"/>
      <c r="K398" s="94"/>
    </row>
    <row r="399" ht="22.5" customHeight="1">
      <c r="A399" s="37">
        <v>397.0</v>
      </c>
      <c r="B399" s="55" t="s">
        <v>715</v>
      </c>
      <c r="C399" s="130"/>
      <c r="D399" s="78">
        <v>45906.0</v>
      </c>
      <c r="E399" s="61">
        <v>5806.0</v>
      </c>
      <c r="F399" s="130"/>
      <c r="G399" s="61">
        <f t="shared" si="2"/>
        <v>5806</v>
      </c>
      <c r="H399" s="94"/>
      <c r="I399" s="51"/>
      <c r="J399" s="94"/>
      <c r="K399" s="94"/>
    </row>
    <row r="400" ht="22.5" customHeight="1">
      <c r="A400" s="55">
        <v>398.0</v>
      </c>
      <c r="B400" s="55" t="s">
        <v>716</v>
      </c>
      <c r="C400" s="130"/>
      <c r="D400" s="78">
        <v>45906.0</v>
      </c>
      <c r="E400" s="61">
        <v>5930.0</v>
      </c>
      <c r="F400" s="130"/>
      <c r="G400" s="61">
        <f t="shared" si="2"/>
        <v>5930</v>
      </c>
      <c r="H400" s="94"/>
      <c r="I400" s="51"/>
      <c r="J400" s="94"/>
      <c r="K400" s="94"/>
    </row>
    <row r="401" ht="22.5" customHeight="1">
      <c r="A401" s="37">
        <v>399.0</v>
      </c>
      <c r="B401" s="55" t="s">
        <v>716</v>
      </c>
      <c r="C401" s="130"/>
      <c r="D401" s="78">
        <v>45906.0</v>
      </c>
      <c r="E401" s="61">
        <v>5000.0</v>
      </c>
      <c r="F401" s="130"/>
      <c r="G401" s="61">
        <f t="shared" si="2"/>
        <v>5000</v>
      </c>
      <c r="H401" s="94"/>
      <c r="I401" s="51"/>
      <c r="J401" s="94"/>
      <c r="K401" s="94"/>
    </row>
    <row r="402" ht="22.5" customHeight="1">
      <c r="A402" s="55">
        <v>400.0</v>
      </c>
      <c r="B402" s="55" t="s">
        <v>624</v>
      </c>
      <c r="C402" s="130"/>
      <c r="D402" s="78">
        <v>45906.0</v>
      </c>
      <c r="E402" s="61">
        <v>5500.0</v>
      </c>
      <c r="F402" s="130"/>
      <c r="G402" s="61">
        <f t="shared" si="2"/>
        <v>5500</v>
      </c>
      <c r="H402" s="94"/>
      <c r="I402" s="51"/>
      <c r="J402" s="94"/>
      <c r="K402" s="94"/>
    </row>
    <row r="403" ht="22.5" customHeight="1">
      <c r="A403" s="37">
        <v>401.0</v>
      </c>
      <c r="B403" s="55" t="s">
        <v>717</v>
      </c>
      <c r="C403" s="130"/>
      <c r="D403" s="78">
        <v>45906.0</v>
      </c>
      <c r="E403" s="61">
        <v>10000.0</v>
      </c>
      <c r="F403" s="130"/>
      <c r="G403" s="61">
        <f t="shared" si="2"/>
        <v>10000</v>
      </c>
      <c r="H403" s="94"/>
      <c r="I403" s="51"/>
      <c r="J403" s="94"/>
      <c r="K403" s="94"/>
    </row>
    <row r="404" ht="22.5" customHeight="1">
      <c r="A404" s="55">
        <v>402.0</v>
      </c>
      <c r="B404" s="55" t="s">
        <v>225</v>
      </c>
      <c r="C404" s="130"/>
      <c r="D404" s="78">
        <v>45906.0</v>
      </c>
      <c r="E404" s="61">
        <v>45000.0</v>
      </c>
      <c r="F404" s="130"/>
      <c r="G404" s="61">
        <f t="shared" si="2"/>
        <v>45000</v>
      </c>
      <c r="H404" s="94"/>
      <c r="I404" s="51"/>
      <c r="J404" s="94"/>
      <c r="K404" s="94"/>
    </row>
    <row r="405" ht="22.5" customHeight="1">
      <c r="A405" s="37">
        <v>403.0</v>
      </c>
      <c r="B405" s="55" t="s">
        <v>109</v>
      </c>
      <c r="C405" s="130"/>
      <c r="D405" s="78">
        <v>45906.0</v>
      </c>
      <c r="E405" s="61">
        <v>8429.0</v>
      </c>
      <c r="F405" s="130"/>
      <c r="G405" s="61">
        <f t="shared" si="2"/>
        <v>8429</v>
      </c>
      <c r="H405" s="94"/>
      <c r="I405" s="51"/>
      <c r="J405" s="94"/>
      <c r="K405" s="94"/>
    </row>
    <row r="406" ht="22.5" customHeight="1">
      <c r="A406" s="55">
        <v>404.0</v>
      </c>
      <c r="B406" s="55" t="s">
        <v>109</v>
      </c>
      <c r="C406" s="130"/>
      <c r="D406" s="78">
        <v>45907.0</v>
      </c>
      <c r="E406" s="61">
        <v>30995.0</v>
      </c>
      <c r="F406" s="130"/>
      <c r="G406" s="61">
        <f t="shared" si="2"/>
        <v>30995</v>
      </c>
      <c r="H406" s="94"/>
      <c r="I406" s="51"/>
      <c r="J406" s="94"/>
      <c r="K406" s="94"/>
    </row>
    <row r="407" ht="22.5" customHeight="1">
      <c r="A407" s="37">
        <v>405.0</v>
      </c>
      <c r="B407" s="55" t="s">
        <v>109</v>
      </c>
      <c r="C407" s="130"/>
      <c r="D407" s="78">
        <v>45907.0</v>
      </c>
      <c r="E407" s="61">
        <v>6305.0</v>
      </c>
      <c r="F407" s="130"/>
      <c r="G407" s="61">
        <f t="shared" si="2"/>
        <v>6305</v>
      </c>
      <c r="H407" s="94"/>
      <c r="I407" s="51"/>
      <c r="J407" s="94"/>
      <c r="K407" s="94"/>
    </row>
    <row r="408" ht="22.5" customHeight="1">
      <c r="A408" s="55">
        <v>406.0</v>
      </c>
      <c r="B408" s="55" t="s">
        <v>225</v>
      </c>
      <c r="C408" s="130"/>
      <c r="D408" s="78">
        <v>45908.0</v>
      </c>
      <c r="E408" s="61">
        <v>55408.0</v>
      </c>
      <c r="F408" s="130"/>
      <c r="G408" s="61">
        <f t="shared" si="2"/>
        <v>55408</v>
      </c>
      <c r="H408" s="94"/>
      <c r="I408" s="51"/>
      <c r="J408" s="94"/>
      <c r="K408" s="94"/>
    </row>
    <row r="409" ht="22.5" customHeight="1">
      <c r="A409" s="37">
        <v>407.0</v>
      </c>
      <c r="B409" s="55" t="s">
        <v>118</v>
      </c>
      <c r="C409" s="130"/>
      <c r="D409" s="78">
        <v>45908.0</v>
      </c>
      <c r="E409" s="61">
        <v>459.0</v>
      </c>
      <c r="F409" s="130"/>
      <c r="G409" s="61">
        <f t="shared" si="2"/>
        <v>459</v>
      </c>
      <c r="H409" s="94"/>
      <c r="I409" s="51"/>
      <c r="J409" s="94"/>
      <c r="K409" s="94"/>
    </row>
    <row r="410" ht="22.5" customHeight="1">
      <c r="A410" s="55">
        <v>408.0</v>
      </c>
      <c r="B410" s="55" t="s">
        <v>390</v>
      </c>
      <c r="C410" s="130"/>
      <c r="D410" s="78">
        <v>45909.0</v>
      </c>
      <c r="E410" s="61">
        <v>23086.0</v>
      </c>
      <c r="F410" s="130"/>
      <c r="G410" s="61">
        <f t="shared" si="2"/>
        <v>23086</v>
      </c>
      <c r="H410" s="94"/>
      <c r="I410" s="51"/>
      <c r="J410" s="94"/>
      <c r="K410" s="94"/>
    </row>
    <row r="411" ht="22.5" customHeight="1">
      <c r="A411" s="37">
        <v>409.0</v>
      </c>
      <c r="B411" s="55" t="s">
        <v>415</v>
      </c>
      <c r="C411" s="130"/>
      <c r="D411" s="78">
        <v>45909.0</v>
      </c>
      <c r="E411" s="61">
        <v>54000.0</v>
      </c>
      <c r="F411" s="130"/>
      <c r="G411" s="61">
        <f t="shared" si="2"/>
        <v>54000</v>
      </c>
      <c r="H411" s="94"/>
      <c r="I411" s="51"/>
      <c r="J411" s="94"/>
      <c r="K411" s="94"/>
    </row>
    <row r="412" ht="22.5" customHeight="1">
      <c r="A412" s="55">
        <v>410.0</v>
      </c>
      <c r="B412" s="55" t="s">
        <v>718</v>
      </c>
      <c r="C412" s="130"/>
      <c r="D412" s="78">
        <v>45909.0</v>
      </c>
      <c r="E412" s="61">
        <v>8000.0</v>
      </c>
      <c r="F412" s="130"/>
      <c r="G412" s="61">
        <f t="shared" si="2"/>
        <v>8000</v>
      </c>
      <c r="H412" s="94"/>
      <c r="I412" s="51"/>
      <c r="J412" s="94"/>
      <c r="K412" s="94"/>
    </row>
    <row r="413" ht="22.5" customHeight="1">
      <c r="A413" s="37">
        <v>411.0</v>
      </c>
      <c r="B413" s="55" t="s">
        <v>359</v>
      </c>
      <c r="C413" s="130"/>
      <c r="D413" s="78">
        <v>45909.0</v>
      </c>
      <c r="E413" s="61">
        <v>30000.0</v>
      </c>
      <c r="F413" s="130"/>
      <c r="G413" s="61">
        <f t="shared" si="2"/>
        <v>30000</v>
      </c>
      <c r="H413" s="94"/>
      <c r="I413" s="51"/>
      <c r="J413" s="94"/>
      <c r="K413" s="94"/>
    </row>
    <row r="414" ht="22.5" customHeight="1">
      <c r="A414" s="55">
        <v>412.0</v>
      </c>
      <c r="B414" s="55" t="s">
        <v>719</v>
      </c>
      <c r="C414" s="130"/>
      <c r="D414" s="78">
        <v>45909.0</v>
      </c>
      <c r="E414" s="61">
        <v>10939.0</v>
      </c>
      <c r="F414" s="130"/>
      <c r="G414" s="61">
        <f t="shared" si="2"/>
        <v>10939</v>
      </c>
      <c r="H414" s="94"/>
      <c r="I414" s="51"/>
      <c r="J414" s="94"/>
      <c r="K414" s="94"/>
    </row>
    <row r="415" ht="22.5" customHeight="1">
      <c r="A415" s="37">
        <v>413.0</v>
      </c>
      <c r="B415" s="55" t="s">
        <v>16</v>
      </c>
      <c r="C415" s="130"/>
      <c r="D415" s="78">
        <v>45910.0</v>
      </c>
      <c r="E415" s="61"/>
      <c r="F415" s="130"/>
      <c r="G415" s="176"/>
      <c r="H415" s="94"/>
      <c r="I415" s="51"/>
      <c r="J415" s="94"/>
      <c r="K415" s="94"/>
    </row>
    <row r="416" ht="22.5" customHeight="1">
      <c r="A416" s="55">
        <v>414.0</v>
      </c>
      <c r="B416" s="55" t="s">
        <v>16</v>
      </c>
      <c r="C416" s="130"/>
      <c r="D416" s="78">
        <v>45910.0</v>
      </c>
      <c r="E416" s="61"/>
      <c r="F416" s="130"/>
      <c r="G416" s="176"/>
      <c r="H416" s="94"/>
      <c r="I416" s="51"/>
      <c r="J416" s="94"/>
      <c r="K416" s="94"/>
    </row>
    <row r="417" ht="22.5" customHeight="1">
      <c r="A417" s="37">
        <v>415.0</v>
      </c>
      <c r="B417" s="55" t="s">
        <v>16</v>
      </c>
      <c r="C417" s="130"/>
      <c r="D417" s="78">
        <v>45910.0</v>
      </c>
      <c r="E417" s="61"/>
      <c r="F417" s="130"/>
      <c r="G417" s="176"/>
      <c r="H417" s="94"/>
      <c r="I417" s="51"/>
      <c r="J417" s="94"/>
      <c r="K417" s="94"/>
    </row>
    <row r="418" ht="22.5" customHeight="1">
      <c r="A418" s="55">
        <v>416.0</v>
      </c>
      <c r="B418" s="55" t="s">
        <v>16</v>
      </c>
      <c r="C418" s="130"/>
      <c r="D418" s="78">
        <v>45911.0</v>
      </c>
      <c r="E418" s="61"/>
      <c r="F418" s="130"/>
      <c r="G418" s="176"/>
      <c r="H418" s="94"/>
      <c r="I418" s="51"/>
      <c r="J418" s="94"/>
      <c r="K418" s="94"/>
    </row>
    <row r="419" ht="22.5" customHeight="1">
      <c r="A419" s="37">
        <v>417.0</v>
      </c>
      <c r="B419" s="55" t="s">
        <v>356</v>
      </c>
      <c r="C419" s="130"/>
      <c r="D419" s="78">
        <v>45911.0</v>
      </c>
      <c r="E419" s="61">
        <v>47646.0</v>
      </c>
      <c r="F419" s="130"/>
      <c r="G419" s="61">
        <f t="shared" ref="G419:G451" si="3">E419+F419</f>
        <v>47646</v>
      </c>
      <c r="H419" s="94"/>
      <c r="I419" s="51"/>
      <c r="J419" s="94"/>
      <c r="K419" s="94"/>
    </row>
    <row r="420" ht="22.5" customHeight="1">
      <c r="A420" s="55">
        <v>418.0</v>
      </c>
      <c r="B420" s="55" t="s">
        <v>415</v>
      </c>
      <c r="C420" s="130"/>
      <c r="D420" s="78">
        <v>45911.0</v>
      </c>
      <c r="E420" s="61">
        <v>32400.0</v>
      </c>
      <c r="F420" s="130"/>
      <c r="G420" s="61">
        <f t="shared" si="3"/>
        <v>32400</v>
      </c>
      <c r="H420" s="94"/>
      <c r="I420" s="51"/>
      <c r="J420" s="94"/>
      <c r="K420" s="94"/>
    </row>
    <row r="421" ht="22.5" customHeight="1">
      <c r="A421" s="37">
        <v>419.0</v>
      </c>
      <c r="B421" s="55" t="s">
        <v>88</v>
      </c>
      <c r="C421" s="130"/>
      <c r="D421" s="78">
        <v>45911.0</v>
      </c>
      <c r="E421" s="61">
        <v>21000.0</v>
      </c>
      <c r="F421" s="130"/>
      <c r="G421" s="61">
        <f t="shared" si="3"/>
        <v>21000</v>
      </c>
      <c r="H421" s="94"/>
      <c r="I421" s="51"/>
      <c r="J421" s="94"/>
      <c r="K421" s="94"/>
    </row>
    <row r="422" ht="22.5" customHeight="1">
      <c r="A422" s="55">
        <v>420.0</v>
      </c>
      <c r="B422" s="55" t="s">
        <v>720</v>
      </c>
      <c r="C422" s="130"/>
      <c r="D422" s="78">
        <v>45911.0</v>
      </c>
      <c r="E422" s="61">
        <v>14000.0</v>
      </c>
      <c r="F422" s="130"/>
      <c r="G422" s="61">
        <f t="shared" si="3"/>
        <v>14000</v>
      </c>
      <c r="H422" s="94"/>
      <c r="I422" s="51"/>
      <c r="J422" s="94"/>
      <c r="K422" s="94"/>
    </row>
    <row r="423" ht="22.5" customHeight="1">
      <c r="A423" s="37">
        <v>421.0</v>
      </c>
      <c r="B423" s="55" t="s">
        <v>721</v>
      </c>
      <c r="C423" s="130"/>
      <c r="D423" s="78">
        <v>45911.0</v>
      </c>
      <c r="E423" s="61">
        <v>12000.0</v>
      </c>
      <c r="F423" s="130"/>
      <c r="G423" s="61">
        <f t="shared" si="3"/>
        <v>12000</v>
      </c>
      <c r="H423" s="94"/>
      <c r="I423" s="51"/>
      <c r="J423" s="94"/>
      <c r="K423" s="94"/>
    </row>
    <row r="424" ht="22.5" customHeight="1">
      <c r="A424" s="55">
        <v>422.0</v>
      </c>
      <c r="B424" s="55" t="s">
        <v>722</v>
      </c>
      <c r="C424" s="130"/>
      <c r="D424" s="78">
        <v>45912.0</v>
      </c>
      <c r="E424" s="61">
        <v>1833.0</v>
      </c>
      <c r="F424" s="130"/>
      <c r="G424" s="61">
        <f t="shared" si="3"/>
        <v>1833</v>
      </c>
      <c r="H424" s="94"/>
      <c r="I424" s="51"/>
      <c r="J424" s="94"/>
      <c r="K424" s="94"/>
    </row>
    <row r="425" ht="22.5" customHeight="1">
      <c r="A425" s="37">
        <v>423.0</v>
      </c>
      <c r="B425" s="55" t="s">
        <v>321</v>
      </c>
      <c r="C425" s="130"/>
      <c r="D425" s="78">
        <v>45912.0</v>
      </c>
      <c r="E425" s="61">
        <v>20891.0</v>
      </c>
      <c r="F425" s="130"/>
      <c r="G425" s="61">
        <f t="shared" si="3"/>
        <v>20891</v>
      </c>
      <c r="H425" s="94"/>
      <c r="I425" s="51"/>
      <c r="J425" s="94"/>
      <c r="K425" s="94"/>
    </row>
    <row r="426" ht="22.5" customHeight="1">
      <c r="A426" s="55">
        <v>424.0</v>
      </c>
      <c r="B426" s="55" t="s">
        <v>723</v>
      </c>
      <c r="C426" s="130"/>
      <c r="D426" s="78">
        <v>45912.0</v>
      </c>
      <c r="E426" s="61">
        <v>10000.0</v>
      </c>
      <c r="F426" s="130"/>
      <c r="G426" s="61">
        <f t="shared" si="3"/>
        <v>10000</v>
      </c>
      <c r="H426" s="94"/>
      <c r="I426" s="51"/>
      <c r="J426" s="94"/>
      <c r="K426" s="94"/>
    </row>
    <row r="427" ht="22.5" customHeight="1">
      <c r="A427" s="37">
        <v>425.0</v>
      </c>
      <c r="B427" s="55" t="s">
        <v>724</v>
      </c>
      <c r="C427" s="130"/>
      <c r="D427" s="78">
        <v>45915.0</v>
      </c>
      <c r="E427" s="61">
        <v>3680.0</v>
      </c>
      <c r="F427" s="130"/>
      <c r="G427" s="61">
        <f t="shared" si="3"/>
        <v>3680</v>
      </c>
      <c r="H427" s="94"/>
      <c r="I427" s="51"/>
      <c r="J427" s="94"/>
      <c r="K427" s="94"/>
    </row>
    <row r="428" ht="22.5" customHeight="1">
      <c r="A428" s="55">
        <v>426.0</v>
      </c>
      <c r="B428" s="55" t="s">
        <v>686</v>
      </c>
      <c r="C428" s="130"/>
      <c r="D428" s="78">
        <v>45915.0</v>
      </c>
      <c r="E428" s="61">
        <v>191093.0</v>
      </c>
      <c r="F428" s="130"/>
      <c r="G428" s="61">
        <f t="shared" si="3"/>
        <v>191093</v>
      </c>
      <c r="H428" s="94"/>
      <c r="I428" s="51"/>
      <c r="J428" s="94"/>
      <c r="K428" s="94"/>
    </row>
    <row r="429" ht="22.5" customHeight="1">
      <c r="A429" s="37">
        <v>427.0</v>
      </c>
      <c r="B429" s="55" t="s">
        <v>142</v>
      </c>
      <c r="C429" s="130"/>
      <c r="D429" s="78">
        <v>45915.0</v>
      </c>
      <c r="E429" s="61">
        <v>49000.0</v>
      </c>
      <c r="F429" s="130"/>
      <c r="G429" s="61">
        <f t="shared" si="3"/>
        <v>49000</v>
      </c>
      <c r="H429" s="94"/>
      <c r="I429" s="51"/>
      <c r="J429" s="94"/>
      <c r="K429" s="94"/>
    </row>
    <row r="430" ht="22.5" customHeight="1">
      <c r="A430" s="55">
        <v>428.0</v>
      </c>
      <c r="B430" s="55" t="s">
        <v>225</v>
      </c>
      <c r="C430" s="130"/>
      <c r="D430" s="78">
        <v>45915.0</v>
      </c>
      <c r="E430" s="61">
        <v>54465.0</v>
      </c>
      <c r="F430" s="130"/>
      <c r="G430" s="61">
        <f t="shared" si="3"/>
        <v>54465</v>
      </c>
      <c r="H430" s="94"/>
      <c r="I430" s="51"/>
      <c r="J430" s="94"/>
      <c r="K430" s="94"/>
    </row>
    <row r="431" ht="22.5" customHeight="1">
      <c r="A431" s="37">
        <v>429.0</v>
      </c>
      <c r="B431" s="55" t="s">
        <v>91</v>
      </c>
      <c r="C431" s="130"/>
      <c r="D431" s="78">
        <v>45915.0</v>
      </c>
      <c r="E431" s="61">
        <v>9428.0</v>
      </c>
      <c r="F431" s="130"/>
      <c r="G431" s="61">
        <f t="shared" si="3"/>
        <v>9428</v>
      </c>
      <c r="H431" s="94"/>
      <c r="I431" s="51"/>
      <c r="J431" s="94"/>
      <c r="K431" s="94"/>
    </row>
    <row r="432" ht="22.5" customHeight="1">
      <c r="A432" s="55">
        <v>430.0</v>
      </c>
      <c r="B432" s="55" t="s">
        <v>725</v>
      </c>
      <c r="C432" s="130"/>
      <c r="D432" s="78">
        <v>45915.0</v>
      </c>
      <c r="E432" s="61">
        <v>13500.0</v>
      </c>
      <c r="F432" s="130"/>
      <c r="G432" s="61">
        <f t="shared" si="3"/>
        <v>13500</v>
      </c>
      <c r="H432" s="94"/>
      <c r="I432" s="51"/>
      <c r="J432" s="94"/>
      <c r="K432" s="94"/>
    </row>
    <row r="433" ht="22.5" customHeight="1">
      <c r="A433" s="37">
        <v>431.0</v>
      </c>
      <c r="B433" s="55" t="s">
        <v>272</v>
      </c>
      <c r="C433" s="130"/>
      <c r="D433" s="78">
        <v>45918.0</v>
      </c>
      <c r="E433" s="61">
        <v>3017.0</v>
      </c>
      <c r="F433" s="130"/>
      <c r="G433" s="61">
        <f t="shared" si="3"/>
        <v>3017</v>
      </c>
      <c r="H433" s="94"/>
      <c r="I433" s="51"/>
      <c r="J433" s="94"/>
      <c r="K433" s="94"/>
    </row>
    <row r="434" ht="22.5" customHeight="1">
      <c r="A434" s="55">
        <v>432.0</v>
      </c>
      <c r="B434" s="55" t="s">
        <v>289</v>
      </c>
      <c r="C434" s="130"/>
      <c r="D434" s="78">
        <v>45918.0</v>
      </c>
      <c r="E434" s="61">
        <v>1516.0</v>
      </c>
      <c r="F434" s="130"/>
      <c r="G434" s="61">
        <f t="shared" si="3"/>
        <v>1516</v>
      </c>
      <c r="H434" s="94"/>
      <c r="I434" s="51"/>
      <c r="J434" s="94"/>
      <c r="K434" s="94"/>
    </row>
    <row r="435" ht="22.5" customHeight="1">
      <c r="A435" s="37">
        <v>433.0</v>
      </c>
      <c r="B435" s="55" t="s">
        <v>275</v>
      </c>
      <c r="C435" s="130"/>
      <c r="D435" s="78">
        <v>45918.0</v>
      </c>
      <c r="E435" s="61">
        <v>2652.0</v>
      </c>
      <c r="F435" s="130"/>
      <c r="G435" s="61">
        <f t="shared" si="3"/>
        <v>2652</v>
      </c>
      <c r="H435" s="94"/>
      <c r="I435" s="51"/>
      <c r="J435" s="94"/>
      <c r="K435" s="94"/>
    </row>
    <row r="436" ht="22.5" customHeight="1">
      <c r="A436" s="55">
        <v>434.0</v>
      </c>
      <c r="B436" s="55" t="s">
        <v>726</v>
      </c>
      <c r="C436" s="130"/>
      <c r="D436" s="78">
        <v>45918.0</v>
      </c>
      <c r="E436" s="61">
        <v>5900.0</v>
      </c>
      <c r="F436" s="130"/>
      <c r="G436" s="61">
        <f t="shared" si="3"/>
        <v>5900</v>
      </c>
      <c r="H436" s="94"/>
      <c r="I436" s="51"/>
      <c r="J436" s="94"/>
      <c r="K436" s="94"/>
    </row>
    <row r="437" ht="22.5" customHeight="1">
      <c r="A437" s="37">
        <v>435.0</v>
      </c>
      <c r="B437" s="55" t="s">
        <v>727</v>
      </c>
      <c r="C437" s="130"/>
      <c r="D437" s="78">
        <v>45918.0</v>
      </c>
      <c r="E437" s="61">
        <v>10000.0</v>
      </c>
      <c r="F437" s="130"/>
      <c r="G437" s="61">
        <f t="shared" si="3"/>
        <v>10000</v>
      </c>
      <c r="H437" s="94"/>
      <c r="I437" s="51"/>
      <c r="J437" s="94"/>
      <c r="K437" s="94"/>
    </row>
    <row r="438" ht="22.5" customHeight="1">
      <c r="A438" s="55">
        <v>436.0</v>
      </c>
      <c r="B438" s="55" t="s">
        <v>728</v>
      </c>
      <c r="C438" s="130"/>
      <c r="D438" s="78">
        <v>45918.0</v>
      </c>
      <c r="E438" s="61">
        <v>5000.0</v>
      </c>
      <c r="F438" s="130"/>
      <c r="G438" s="61">
        <f t="shared" si="3"/>
        <v>5000</v>
      </c>
      <c r="H438" s="94"/>
      <c r="I438" s="51"/>
      <c r="J438" s="94"/>
      <c r="K438" s="94"/>
    </row>
    <row r="439" ht="22.5" customHeight="1">
      <c r="A439" s="37">
        <v>437.0</v>
      </c>
      <c r="B439" s="55" t="s">
        <v>729</v>
      </c>
      <c r="C439" s="130"/>
      <c r="D439" s="78">
        <v>45918.0</v>
      </c>
      <c r="E439" s="61">
        <v>11491.0</v>
      </c>
      <c r="F439" s="130"/>
      <c r="G439" s="61">
        <f t="shared" si="3"/>
        <v>11491</v>
      </c>
      <c r="H439" s="94"/>
      <c r="I439" s="51"/>
      <c r="J439" s="94"/>
      <c r="K439" s="94"/>
    </row>
    <row r="440" ht="22.5" customHeight="1">
      <c r="A440" s="55">
        <v>438.0</v>
      </c>
      <c r="B440" s="55" t="s">
        <v>730</v>
      </c>
      <c r="C440" s="130"/>
      <c r="D440" s="78">
        <v>45918.0</v>
      </c>
      <c r="E440" s="61">
        <v>23600.0</v>
      </c>
      <c r="F440" s="130"/>
      <c r="G440" s="61">
        <f t="shared" si="3"/>
        <v>23600</v>
      </c>
      <c r="H440" s="94"/>
      <c r="I440" s="51"/>
      <c r="J440" s="94"/>
      <c r="K440" s="94"/>
    </row>
    <row r="441" ht="22.5" customHeight="1">
      <c r="A441" s="37">
        <v>439.0</v>
      </c>
      <c r="B441" s="55" t="s">
        <v>731</v>
      </c>
      <c r="C441" s="130"/>
      <c r="D441" s="78">
        <v>45918.0</v>
      </c>
      <c r="E441" s="61">
        <v>35400.0</v>
      </c>
      <c r="F441" s="130"/>
      <c r="G441" s="61">
        <f t="shared" si="3"/>
        <v>35400</v>
      </c>
      <c r="H441" s="94"/>
      <c r="I441" s="51"/>
      <c r="J441" s="94"/>
      <c r="K441" s="94"/>
    </row>
    <row r="442" ht="22.5" customHeight="1">
      <c r="A442" s="55">
        <v>440.0</v>
      </c>
      <c r="B442" s="55" t="s">
        <v>722</v>
      </c>
      <c r="C442" s="130"/>
      <c r="D442" s="78">
        <v>45919.0</v>
      </c>
      <c r="E442" s="61">
        <v>7889.0</v>
      </c>
      <c r="F442" s="130"/>
      <c r="G442" s="61">
        <f t="shared" si="3"/>
        <v>7889</v>
      </c>
      <c r="H442" s="94"/>
      <c r="I442" s="51"/>
      <c r="J442" s="94"/>
      <c r="K442" s="94"/>
    </row>
    <row r="443" ht="22.5" customHeight="1">
      <c r="A443" s="37">
        <v>441.0</v>
      </c>
      <c r="B443" s="55" t="s">
        <v>732</v>
      </c>
      <c r="C443" s="130"/>
      <c r="D443" s="78">
        <v>45919.0</v>
      </c>
      <c r="E443" s="61">
        <v>25000.0</v>
      </c>
      <c r="F443" s="130"/>
      <c r="G443" s="61">
        <f t="shared" si="3"/>
        <v>25000</v>
      </c>
      <c r="H443" s="94"/>
      <c r="I443" s="51"/>
      <c r="J443" s="94"/>
      <c r="K443" s="94"/>
    </row>
    <row r="444" ht="22.5" customHeight="1">
      <c r="A444" s="55">
        <v>442.0</v>
      </c>
      <c r="B444" s="55" t="s">
        <v>733</v>
      </c>
      <c r="C444" s="130"/>
      <c r="D444" s="78">
        <v>45919.0</v>
      </c>
      <c r="E444" s="61">
        <v>11140.0</v>
      </c>
      <c r="F444" s="130"/>
      <c r="G444" s="61">
        <f t="shared" si="3"/>
        <v>11140</v>
      </c>
      <c r="H444" s="94"/>
      <c r="I444" s="51"/>
      <c r="J444" s="94"/>
      <c r="K444" s="94"/>
    </row>
    <row r="445" ht="22.5" customHeight="1">
      <c r="A445" s="37">
        <v>443.0</v>
      </c>
      <c r="B445" s="55" t="s">
        <v>284</v>
      </c>
      <c r="C445" s="130"/>
      <c r="D445" s="78">
        <v>45919.0</v>
      </c>
      <c r="E445" s="61">
        <v>7000.0</v>
      </c>
      <c r="F445" s="130"/>
      <c r="G445" s="61">
        <f t="shared" si="3"/>
        <v>7000</v>
      </c>
      <c r="H445" s="94"/>
      <c r="I445" s="51"/>
      <c r="J445" s="94"/>
      <c r="K445" s="94"/>
    </row>
    <row r="446" ht="22.5" customHeight="1">
      <c r="A446" s="55">
        <v>444.0</v>
      </c>
      <c r="B446" s="55" t="s">
        <v>722</v>
      </c>
      <c r="C446" s="130"/>
      <c r="D446" s="78">
        <v>45920.0</v>
      </c>
      <c r="E446" s="61">
        <v>11014.0</v>
      </c>
      <c r="F446" s="130"/>
      <c r="G446" s="61">
        <f t="shared" si="3"/>
        <v>11014</v>
      </c>
      <c r="H446" s="94"/>
      <c r="I446" s="51"/>
      <c r="J446" s="94"/>
      <c r="K446" s="94"/>
    </row>
    <row r="447" ht="22.5" customHeight="1">
      <c r="A447" s="37">
        <v>445.0</v>
      </c>
      <c r="B447" s="55" t="s">
        <v>289</v>
      </c>
      <c r="C447" s="130"/>
      <c r="D447" s="78">
        <v>45921.0</v>
      </c>
      <c r="E447" s="61">
        <v>1642.0</v>
      </c>
      <c r="F447" s="130"/>
      <c r="G447" s="61">
        <f t="shared" si="3"/>
        <v>1642</v>
      </c>
      <c r="H447" s="94"/>
      <c r="I447" s="51"/>
      <c r="J447" s="94"/>
      <c r="K447" s="94"/>
    </row>
    <row r="448" ht="22.5" customHeight="1">
      <c r="A448" s="55">
        <v>446.0</v>
      </c>
      <c r="B448" s="55" t="s">
        <v>289</v>
      </c>
      <c r="C448" s="130"/>
      <c r="D448" s="78">
        <v>45922.0</v>
      </c>
      <c r="E448" s="61">
        <v>2053.0</v>
      </c>
      <c r="F448" s="130"/>
      <c r="G448" s="61">
        <f t="shared" si="3"/>
        <v>2053</v>
      </c>
      <c r="H448" s="94"/>
      <c r="I448" s="51"/>
      <c r="J448" s="94"/>
      <c r="K448" s="94"/>
    </row>
    <row r="449" ht="22.5" customHeight="1">
      <c r="A449" s="37">
        <v>447.0</v>
      </c>
      <c r="B449" s="55" t="s">
        <v>109</v>
      </c>
      <c r="C449" s="130"/>
      <c r="D449" s="78">
        <v>45922.0</v>
      </c>
      <c r="E449" s="61">
        <v>13714.0</v>
      </c>
      <c r="F449" s="130"/>
      <c r="G449" s="61">
        <f t="shared" si="3"/>
        <v>13714</v>
      </c>
      <c r="H449" s="94"/>
      <c r="I449" s="51"/>
      <c r="J449" s="94"/>
      <c r="K449" s="94"/>
    </row>
    <row r="450" ht="22.5" customHeight="1">
      <c r="A450" s="55">
        <v>448.0</v>
      </c>
      <c r="B450" s="55" t="s">
        <v>734</v>
      </c>
      <c r="C450" s="130"/>
      <c r="D450" s="78">
        <v>45923.0</v>
      </c>
      <c r="E450" s="61">
        <v>1177.0</v>
      </c>
      <c r="F450" s="130"/>
      <c r="G450" s="61">
        <f t="shared" si="3"/>
        <v>1177</v>
      </c>
      <c r="H450" s="94"/>
      <c r="I450" s="51"/>
      <c r="J450" s="94"/>
      <c r="K450" s="94"/>
    </row>
    <row r="451" ht="22.5" customHeight="1">
      <c r="A451" s="37">
        <v>449.0</v>
      </c>
      <c r="B451" s="55" t="s">
        <v>109</v>
      </c>
      <c r="C451" s="130"/>
      <c r="D451" s="78">
        <v>45923.0</v>
      </c>
      <c r="E451" s="61">
        <v>30000.0</v>
      </c>
      <c r="F451" s="130"/>
      <c r="G451" s="61">
        <f t="shared" si="3"/>
        <v>30000</v>
      </c>
      <c r="J451" s="94"/>
      <c r="K451" s="94"/>
    </row>
    <row r="452" ht="22.5" customHeight="1">
      <c r="A452" s="55">
        <v>450.0</v>
      </c>
      <c r="B452" s="174" t="s">
        <v>53</v>
      </c>
      <c r="C452" s="204"/>
      <c r="D452" s="175">
        <v>45923.0</v>
      </c>
      <c r="E452" s="176">
        <v>354586.0</v>
      </c>
      <c r="F452" s="204"/>
      <c r="G452" s="176">
        <v>354586.0</v>
      </c>
      <c r="H452" s="205"/>
      <c r="I452" s="206"/>
      <c r="J452" s="94"/>
      <c r="K452" s="94"/>
    </row>
    <row r="453" ht="22.5" customHeight="1">
      <c r="A453" s="37">
        <v>451.0</v>
      </c>
      <c r="B453" s="55" t="s">
        <v>735</v>
      </c>
      <c r="C453" s="130"/>
      <c r="D453" s="78">
        <v>45923.0</v>
      </c>
      <c r="E453" s="61">
        <v>3505.0</v>
      </c>
      <c r="F453" s="130"/>
      <c r="G453" s="61">
        <f t="shared" ref="G453:G1296" si="4">E453+F453</f>
        <v>3505</v>
      </c>
      <c r="H453" s="94"/>
      <c r="I453" s="51"/>
      <c r="J453" s="94"/>
      <c r="K453" s="94"/>
    </row>
    <row r="454" ht="22.5" customHeight="1">
      <c r="A454" s="55">
        <v>452.0</v>
      </c>
      <c r="B454" s="55" t="s">
        <v>91</v>
      </c>
      <c r="C454" s="130"/>
      <c r="D454" s="78">
        <v>45923.0</v>
      </c>
      <c r="E454" s="61">
        <v>6114.0</v>
      </c>
      <c r="F454" s="130"/>
      <c r="G454" s="61">
        <f t="shared" si="4"/>
        <v>6114</v>
      </c>
      <c r="H454" s="94"/>
      <c r="I454" s="51"/>
      <c r="J454" s="94"/>
      <c r="K454" s="94"/>
    </row>
    <row r="455" ht="22.5" customHeight="1">
      <c r="A455" s="37">
        <v>453.0</v>
      </c>
      <c r="B455" s="55" t="s">
        <v>736</v>
      </c>
      <c r="C455" s="130"/>
      <c r="D455" s="78">
        <v>45923.0</v>
      </c>
      <c r="E455" s="61">
        <v>9000.0</v>
      </c>
      <c r="F455" s="130"/>
      <c r="G455" s="61">
        <f t="shared" si="4"/>
        <v>9000</v>
      </c>
      <c r="H455" s="94"/>
      <c r="I455" s="51"/>
      <c r="J455" s="94"/>
      <c r="K455" s="94"/>
    </row>
    <row r="456" ht="22.5" customHeight="1">
      <c r="A456" s="55">
        <v>454.0</v>
      </c>
      <c r="B456" s="55" t="s">
        <v>362</v>
      </c>
      <c r="C456" s="130"/>
      <c r="D456" s="78">
        <v>45923.0</v>
      </c>
      <c r="E456" s="61">
        <v>116000.0</v>
      </c>
      <c r="F456" s="130"/>
      <c r="G456" s="61">
        <f t="shared" si="4"/>
        <v>116000</v>
      </c>
      <c r="H456" s="94"/>
      <c r="I456" s="51"/>
      <c r="J456" s="94"/>
      <c r="K456" s="94"/>
    </row>
    <row r="457" ht="22.5" customHeight="1">
      <c r="A457" s="37">
        <v>455.0</v>
      </c>
      <c r="B457" s="55" t="s">
        <v>362</v>
      </c>
      <c r="C457" s="130"/>
      <c r="D457" s="78">
        <v>45923.0</v>
      </c>
      <c r="E457" s="61">
        <v>8700.0</v>
      </c>
      <c r="F457" s="130"/>
      <c r="G457" s="61">
        <f t="shared" si="4"/>
        <v>8700</v>
      </c>
      <c r="H457" s="94"/>
      <c r="I457" s="51"/>
      <c r="J457" s="94"/>
      <c r="K457" s="94"/>
    </row>
    <row r="458" ht="22.5" customHeight="1">
      <c r="A458" s="55">
        <v>456.0</v>
      </c>
      <c r="B458" s="55" t="s">
        <v>737</v>
      </c>
      <c r="C458" s="130"/>
      <c r="D458" s="78">
        <v>45923.0</v>
      </c>
      <c r="E458" s="61">
        <v>12500.0</v>
      </c>
      <c r="F458" s="130"/>
      <c r="G458" s="61">
        <f t="shared" si="4"/>
        <v>12500</v>
      </c>
      <c r="H458" s="94"/>
      <c r="I458" s="51"/>
      <c r="J458" s="94"/>
      <c r="K458" s="94"/>
    </row>
    <row r="459" ht="22.5" customHeight="1">
      <c r="A459" s="37">
        <v>457.0</v>
      </c>
      <c r="B459" s="55" t="s">
        <v>738</v>
      </c>
      <c r="C459" s="130"/>
      <c r="D459" s="78">
        <v>45923.0</v>
      </c>
      <c r="E459" s="61">
        <v>18568.0</v>
      </c>
      <c r="F459" s="130"/>
      <c r="G459" s="61">
        <f t="shared" si="4"/>
        <v>18568</v>
      </c>
      <c r="H459" s="94"/>
      <c r="I459" s="51"/>
      <c r="J459" s="94"/>
      <c r="K459" s="94"/>
    </row>
    <row r="460" ht="22.5" customHeight="1">
      <c r="A460" s="55">
        <v>458.0</v>
      </c>
      <c r="B460" s="55" t="s">
        <v>739</v>
      </c>
      <c r="C460" s="130"/>
      <c r="D460" s="78">
        <v>45923.0</v>
      </c>
      <c r="E460" s="61">
        <v>11077.0</v>
      </c>
      <c r="F460" s="130"/>
      <c r="G460" s="61">
        <f t="shared" si="4"/>
        <v>11077</v>
      </c>
      <c r="H460" s="94"/>
      <c r="I460" s="51"/>
      <c r="J460" s="94"/>
      <c r="K460" s="94"/>
    </row>
    <row r="461" ht="22.5" customHeight="1">
      <c r="A461" s="37">
        <v>459.0</v>
      </c>
      <c r="B461" s="55" t="s">
        <v>740</v>
      </c>
      <c r="C461" s="130"/>
      <c r="D461" s="78">
        <v>45923.0</v>
      </c>
      <c r="E461" s="61">
        <v>15650.0</v>
      </c>
      <c r="F461" s="130"/>
      <c r="G461" s="61">
        <f t="shared" si="4"/>
        <v>15650</v>
      </c>
      <c r="H461" s="94"/>
      <c r="I461" s="51"/>
      <c r="J461" s="94"/>
      <c r="K461" s="94"/>
    </row>
    <row r="462" ht="22.5" customHeight="1">
      <c r="A462" s="55">
        <v>460.0</v>
      </c>
      <c r="B462" s="55" t="s">
        <v>295</v>
      </c>
      <c r="C462" s="130"/>
      <c r="D462" s="78">
        <v>45923.0</v>
      </c>
      <c r="E462" s="61">
        <v>14000.0</v>
      </c>
      <c r="F462" s="130"/>
      <c r="G462" s="61">
        <f t="shared" si="4"/>
        <v>14000</v>
      </c>
      <c r="H462" s="94"/>
      <c r="I462" s="51"/>
      <c r="J462" s="94"/>
      <c r="K462" s="94"/>
    </row>
    <row r="463" ht="22.5" customHeight="1">
      <c r="A463" s="37">
        <v>461.0</v>
      </c>
      <c r="B463" s="55" t="s">
        <v>741</v>
      </c>
      <c r="C463" s="130"/>
      <c r="D463" s="78">
        <v>45924.0</v>
      </c>
      <c r="E463" s="61">
        <v>10.0</v>
      </c>
      <c r="F463" s="130"/>
      <c r="G463" s="61">
        <f t="shared" si="4"/>
        <v>10</v>
      </c>
      <c r="H463" s="94"/>
      <c r="I463" s="51"/>
      <c r="J463" s="94"/>
      <c r="K463" s="94"/>
    </row>
    <row r="464" ht="22.5" customHeight="1">
      <c r="A464" s="55">
        <v>462.0</v>
      </c>
      <c r="B464" s="55" t="s">
        <v>741</v>
      </c>
      <c r="C464" s="130"/>
      <c r="D464" s="78">
        <v>45924.0</v>
      </c>
      <c r="E464" s="61">
        <v>100000.0</v>
      </c>
      <c r="F464" s="130"/>
      <c r="G464" s="61">
        <f t="shared" si="4"/>
        <v>100000</v>
      </c>
      <c r="H464" s="94"/>
      <c r="I464" s="51"/>
      <c r="J464" s="94"/>
      <c r="K464" s="94"/>
    </row>
    <row r="465" ht="22.5" customHeight="1">
      <c r="A465" s="37">
        <v>463.0</v>
      </c>
      <c r="B465" s="55" t="s">
        <v>742</v>
      </c>
      <c r="C465" s="130"/>
      <c r="D465" s="78">
        <v>45924.0</v>
      </c>
      <c r="E465" s="61">
        <v>295000.0</v>
      </c>
      <c r="F465" s="130"/>
      <c r="G465" s="61">
        <f t="shared" si="4"/>
        <v>295000</v>
      </c>
      <c r="H465" s="94"/>
      <c r="I465" s="51"/>
      <c r="J465" s="94"/>
      <c r="K465" s="94"/>
    </row>
    <row r="466" ht="22.5" customHeight="1">
      <c r="A466" s="55">
        <v>464.0</v>
      </c>
      <c r="B466" s="55" t="s">
        <v>743</v>
      </c>
      <c r="C466" s="130"/>
      <c r="D466" s="78">
        <v>45925.0</v>
      </c>
      <c r="E466" s="61">
        <v>5700.0</v>
      </c>
      <c r="F466" s="130"/>
      <c r="G466" s="61">
        <f t="shared" si="4"/>
        <v>5700</v>
      </c>
      <c r="H466" s="94"/>
      <c r="I466" s="51"/>
      <c r="J466" s="94"/>
      <c r="K466" s="94"/>
    </row>
    <row r="467" ht="22.5" customHeight="1">
      <c r="A467" s="37">
        <v>465.0</v>
      </c>
      <c r="B467" s="55" t="s">
        <v>541</v>
      </c>
      <c r="C467" s="130"/>
      <c r="D467" s="78">
        <v>45925.0</v>
      </c>
      <c r="E467" s="61">
        <v>10000.0</v>
      </c>
      <c r="F467" s="130"/>
      <c r="G467" s="61">
        <f t="shared" si="4"/>
        <v>10000</v>
      </c>
      <c r="H467" s="94"/>
      <c r="I467" s="51"/>
      <c r="J467" s="94"/>
      <c r="K467" s="94"/>
    </row>
    <row r="468" ht="22.5" customHeight="1">
      <c r="A468" s="55">
        <v>466.0</v>
      </c>
      <c r="B468" s="55" t="s">
        <v>88</v>
      </c>
      <c r="C468" s="130"/>
      <c r="D468" s="78">
        <v>45925.0</v>
      </c>
      <c r="E468" s="61">
        <v>25000.0</v>
      </c>
      <c r="F468" s="130"/>
      <c r="G468" s="61">
        <f t="shared" si="4"/>
        <v>25000</v>
      </c>
      <c r="H468" s="94"/>
      <c r="I468" s="51"/>
      <c r="J468" s="94"/>
      <c r="K468" s="94"/>
    </row>
    <row r="469" ht="22.5" customHeight="1">
      <c r="A469" s="37">
        <v>467.0</v>
      </c>
      <c r="B469" s="55" t="s">
        <v>700</v>
      </c>
      <c r="C469" s="130"/>
      <c r="D469" s="78">
        <v>45927.0</v>
      </c>
      <c r="E469" s="61">
        <v>30208.0</v>
      </c>
      <c r="F469" s="130"/>
      <c r="G469" s="61">
        <f t="shared" si="4"/>
        <v>30208</v>
      </c>
      <c r="H469" s="94"/>
      <c r="I469" s="51"/>
      <c r="J469" s="94"/>
      <c r="K469" s="94"/>
    </row>
    <row r="470" ht="22.5" customHeight="1">
      <c r="A470" s="55">
        <v>468.0</v>
      </c>
      <c r="B470" s="55" t="s">
        <v>744</v>
      </c>
      <c r="C470" s="130"/>
      <c r="D470" s="78">
        <v>45927.0</v>
      </c>
      <c r="E470" s="61">
        <v>25197.0</v>
      </c>
      <c r="F470" s="130"/>
      <c r="G470" s="61">
        <f t="shared" si="4"/>
        <v>25197</v>
      </c>
      <c r="H470" s="94"/>
      <c r="I470" s="51"/>
      <c r="J470" s="94"/>
      <c r="K470" s="94"/>
    </row>
    <row r="471" ht="22.5" customHeight="1">
      <c r="A471" s="37">
        <v>469.0</v>
      </c>
      <c r="B471" s="55" t="s">
        <v>745</v>
      </c>
      <c r="C471" s="130"/>
      <c r="D471" s="78">
        <v>45927.0</v>
      </c>
      <c r="E471" s="61">
        <v>5501.0</v>
      </c>
      <c r="F471" s="130"/>
      <c r="G471" s="61">
        <f t="shared" si="4"/>
        <v>5501</v>
      </c>
      <c r="H471" s="94"/>
      <c r="I471" s="51"/>
      <c r="J471" s="94"/>
      <c r="K471" s="94"/>
    </row>
    <row r="472" ht="22.5" customHeight="1">
      <c r="A472" s="55">
        <v>470.0</v>
      </c>
      <c r="B472" s="55" t="s">
        <v>746</v>
      </c>
      <c r="C472" s="130"/>
      <c r="D472" s="78">
        <v>45927.0</v>
      </c>
      <c r="E472" s="61">
        <v>21200.0</v>
      </c>
      <c r="F472" s="130"/>
      <c r="G472" s="61">
        <f t="shared" si="4"/>
        <v>21200</v>
      </c>
      <c r="H472" s="94"/>
      <c r="I472" s="51"/>
      <c r="J472" s="94"/>
      <c r="K472" s="94"/>
    </row>
    <row r="473" ht="22.5" customHeight="1">
      <c r="A473" s="37">
        <v>471.0</v>
      </c>
      <c r="B473" s="55" t="s">
        <v>109</v>
      </c>
      <c r="C473" s="130"/>
      <c r="D473" s="78">
        <v>45927.0</v>
      </c>
      <c r="E473" s="61">
        <v>15534.0</v>
      </c>
      <c r="F473" s="130"/>
      <c r="G473" s="61">
        <f t="shared" si="4"/>
        <v>15534</v>
      </c>
      <c r="H473" s="94"/>
      <c r="I473" s="51"/>
      <c r="J473" s="94"/>
      <c r="K473" s="94"/>
    </row>
    <row r="474" ht="22.5" customHeight="1">
      <c r="A474" s="55">
        <v>472.0</v>
      </c>
      <c r="B474" s="55" t="s">
        <v>747</v>
      </c>
      <c r="C474" s="130"/>
      <c r="D474" s="78">
        <v>45929.0</v>
      </c>
      <c r="E474" s="61">
        <v>1847.0</v>
      </c>
      <c r="F474" s="130"/>
      <c r="G474" s="61">
        <f t="shared" si="4"/>
        <v>1847</v>
      </c>
      <c r="H474" s="94"/>
      <c r="I474" s="51"/>
      <c r="J474" s="94"/>
      <c r="K474" s="94"/>
    </row>
    <row r="475" ht="22.5" customHeight="1">
      <c r="A475" s="37">
        <v>473.0</v>
      </c>
      <c r="B475" s="55" t="s">
        <v>748</v>
      </c>
      <c r="C475" s="130"/>
      <c r="D475" s="78">
        <v>45929.0</v>
      </c>
      <c r="E475" s="61">
        <v>30680.0</v>
      </c>
      <c r="F475" s="130"/>
      <c r="G475" s="61">
        <f t="shared" si="4"/>
        <v>30680</v>
      </c>
      <c r="H475" s="94"/>
      <c r="I475" s="51"/>
      <c r="J475" s="94"/>
      <c r="K475" s="94"/>
    </row>
    <row r="476" ht="22.5" customHeight="1">
      <c r="A476" s="55">
        <v>474.0</v>
      </c>
      <c r="B476" s="55" t="s">
        <v>693</v>
      </c>
      <c r="C476" s="130"/>
      <c r="D476" s="78">
        <v>45929.0</v>
      </c>
      <c r="E476" s="61">
        <v>17700.0</v>
      </c>
      <c r="F476" s="130"/>
      <c r="G476" s="61">
        <f t="shared" si="4"/>
        <v>17700</v>
      </c>
      <c r="H476" s="94"/>
      <c r="I476" s="51"/>
      <c r="J476" s="94"/>
      <c r="K476" s="94"/>
    </row>
    <row r="477" ht="22.5" customHeight="1">
      <c r="A477" s="37">
        <v>475.0</v>
      </c>
      <c r="B477" s="55" t="s">
        <v>359</v>
      </c>
      <c r="C477" s="130"/>
      <c r="D477" s="78">
        <v>45929.0</v>
      </c>
      <c r="E477" s="61">
        <v>10000.0</v>
      </c>
      <c r="F477" s="130"/>
      <c r="G477" s="61">
        <f t="shared" si="4"/>
        <v>10000</v>
      </c>
      <c r="H477" s="94"/>
      <c r="I477" s="51"/>
      <c r="J477" s="94"/>
      <c r="K477" s="94"/>
    </row>
    <row r="478" ht="22.5" customHeight="1">
      <c r="A478" s="55">
        <v>476.0</v>
      </c>
      <c r="B478" s="55" t="s">
        <v>686</v>
      </c>
      <c r="C478" s="130"/>
      <c r="D478" s="78">
        <v>45929.0</v>
      </c>
      <c r="E478" s="61">
        <v>400000.0</v>
      </c>
      <c r="F478" s="130"/>
      <c r="G478" s="61">
        <f t="shared" si="4"/>
        <v>400000</v>
      </c>
      <c r="H478" s="94"/>
      <c r="I478" s="51"/>
      <c r="J478" s="94"/>
      <c r="K478" s="94"/>
    </row>
    <row r="479" ht="22.5" customHeight="1">
      <c r="A479" s="37">
        <v>477.0</v>
      </c>
      <c r="B479" s="55" t="s">
        <v>741</v>
      </c>
      <c r="C479" s="130"/>
      <c r="D479" s="78">
        <v>45929.0</v>
      </c>
      <c r="E479" s="61">
        <v>100000.0</v>
      </c>
      <c r="F479" s="130"/>
      <c r="G479" s="61">
        <f t="shared" si="4"/>
        <v>100000</v>
      </c>
      <c r="H479" s="94"/>
      <c r="I479" s="51"/>
      <c r="J479" s="94"/>
      <c r="K479" s="94"/>
    </row>
    <row r="480" ht="22.5" customHeight="1">
      <c r="A480" s="55">
        <v>478.0</v>
      </c>
      <c r="B480" s="55" t="s">
        <v>450</v>
      </c>
      <c r="C480" s="130"/>
      <c r="D480" s="78">
        <v>45929.0</v>
      </c>
      <c r="E480" s="61">
        <v>5680.0</v>
      </c>
      <c r="F480" s="130"/>
      <c r="G480" s="61">
        <f t="shared" si="4"/>
        <v>5680</v>
      </c>
      <c r="H480" s="94"/>
      <c r="I480" s="51"/>
      <c r="J480" s="94"/>
      <c r="K480" s="94"/>
    </row>
    <row r="481" ht="22.5" customHeight="1">
      <c r="A481" s="37">
        <v>479.0</v>
      </c>
      <c r="B481" s="55" t="s">
        <v>749</v>
      </c>
      <c r="C481" s="130"/>
      <c r="D481" s="78">
        <v>45929.0</v>
      </c>
      <c r="E481" s="61">
        <v>8300.0</v>
      </c>
      <c r="F481" s="130"/>
      <c r="G481" s="61">
        <f t="shared" si="4"/>
        <v>8300</v>
      </c>
      <c r="H481" s="94"/>
      <c r="I481" s="51"/>
      <c r="J481" s="94"/>
      <c r="K481" s="94"/>
    </row>
    <row r="482" ht="22.5" customHeight="1">
      <c r="A482" s="55">
        <v>480.0</v>
      </c>
      <c r="B482" s="55" t="s">
        <v>750</v>
      </c>
      <c r="C482" s="130"/>
      <c r="D482" s="78">
        <v>45929.0</v>
      </c>
      <c r="E482" s="61">
        <v>7000.0</v>
      </c>
      <c r="F482" s="130"/>
      <c r="G482" s="61">
        <f t="shared" si="4"/>
        <v>7000</v>
      </c>
      <c r="H482" s="94"/>
      <c r="I482" s="51"/>
      <c r="J482" s="94"/>
      <c r="K482" s="94"/>
    </row>
    <row r="483" ht="22.5" customHeight="1">
      <c r="A483" s="37">
        <v>481.0</v>
      </c>
      <c r="B483" s="55" t="s">
        <v>750</v>
      </c>
      <c r="C483" s="130"/>
      <c r="D483" s="78">
        <v>45929.0</v>
      </c>
      <c r="E483" s="61">
        <v>4370.0</v>
      </c>
      <c r="F483" s="130"/>
      <c r="G483" s="61">
        <f t="shared" si="4"/>
        <v>4370</v>
      </c>
      <c r="H483" s="94"/>
      <c r="I483" s="51"/>
      <c r="J483" s="94"/>
      <c r="K483" s="94"/>
    </row>
    <row r="484" ht="22.5" customHeight="1">
      <c r="A484" s="55">
        <v>482.0</v>
      </c>
      <c r="B484" s="55" t="s">
        <v>750</v>
      </c>
      <c r="C484" s="130"/>
      <c r="D484" s="78">
        <v>45929.0</v>
      </c>
      <c r="E484" s="61">
        <v>9827.0</v>
      </c>
      <c r="F484" s="130"/>
      <c r="G484" s="61">
        <f t="shared" si="4"/>
        <v>9827</v>
      </c>
      <c r="H484" s="94"/>
      <c r="I484" s="51"/>
      <c r="J484" s="94"/>
      <c r="K484" s="94"/>
    </row>
    <row r="485" ht="22.5" customHeight="1">
      <c r="A485" s="37">
        <v>483.0</v>
      </c>
      <c r="B485" s="55" t="s">
        <v>225</v>
      </c>
      <c r="C485" s="130"/>
      <c r="D485" s="78">
        <v>45929.0</v>
      </c>
      <c r="E485" s="61">
        <v>61635.0</v>
      </c>
      <c r="F485" s="130"/>
      <c r="G485" s="61">
        <f t="shared" si="4"/>
        <v>61635</v>
      </c>
      <c r="H485" s="94"/>
      <c r="I485" s="51"/>
      <c r="J485" s="94"/>
      <c r="K485" s="94"/>
    </row>
    <row r="486" ht="22.5" customHeight="1">
      <c r="A486" s="55">
        <v>484.0</v>
      </c>
      <c r="B486" s="55" t="s">
        <v>750</v>
      </c>
      <c r="C486" s="130"/>
      <c r="D486" s="78">
        <v>45929.0</v>
      </c>
      <c r="E486" s="61">
        <v>11992.0</v>
      </c>
      <c r="F486" s="130"/>
      <c r="G486" s="61">
        <f t="shared" si="4"/>
        <v>11992</v>
      </c>
      <c r="H486" s="94"/>
      <c r="I486" s="51"/>
      <c r="J486" s="94"/>
      <c r="K486" s="94"/>
    </row>
    <row r="487" ht="22.5" customHeight="1">
      <c r="A487" s="37">
        <v>485.0</v>
      </c>
      <c r="B487" s="55" t="s">
        <v>109</v>
      </c>
      <c r="C487" s="130"/>
      <c r="D487" s="78">
        <v>45930.0</v>
      </c>
      <c r="E487" s="61">
        <v>30000.0</v>
      </c>
      <c r="F487" s="130"/>
      <c r="G487" s="61">
        <f t="shared" si="4"/>
        <v>30000</v>
      </c>
      <c r="H487" s="94"/>
      <c r="I487" s="51"/>
      <c r="J487" s="94"/>
      <c r="K487" s="94"/>
    </row>
    <row r="488" ht="22.5" customHeight="1">
      <c r="A488" s="55">
        <v>486.0</v>
      </c>
      <c r="B488" s="55" t="s">
        <v>362</v>
      </c>
      <c r="C488" s="130"/>
      <c r="D488" s="78">
        <v>45930.0</v>
      </c>
      <c r="E488" s="61">
        <v>34800.0</v>
      </c>
      <c r="F488" s="130"/>
      <c r="G488" s="61">
        <f t="shared" si="4"/>
        <v>34800</v>
      </c>
      <c r="H488" s="94"/>
      <c r="I488" s="51"/>
      <c r="J488" s="94"/>
      <c r="K488" s="94"/>
    </row>
    <row r="489" ht="22.5" customHeight="1">
      <c r="A489" s="37">
        <v>487.0</v>
      </c>
      <c r="B489" s="55" t="s">
        <v>751</v>
      </c>
      <c r="C489" s="130"/>
      <c r="D489" s="78">
        <v>45930.0</v>
      </c>
      <c r="E489" s="61">
        <v>27000.0</v>
      </c>
      <c r="F489" s="130"/>
      <c r="G489" s="61">
        <f t="shared" si="4"/>
        <v>27000</v>
      </c>
      <c r="H489" s="94"/>
      <c r="I489" s="51"/>
      <c r="J489" s="94"/>
      <c r="K489" s="94"/>
    </row>
    <row r="490" ht="22.5" customHeight="1">
      <c r="A490" s="55">
        <v>488.0</v>
      </c>
      <c r="B490" s="55" t="s">
        <v>752</v>
      </c>
      <c r="C490" s="130"/>
      <c r="D490" s="78">
        <v>45930.0</v>
      </c>
      <c r="E490" s="61">
        <v>12000.0</v>
      </c>
      <c r="F490" s="130"/>
      <c r="G490" s="61">
        <f t="shared" si="4"/>
        <v>12000</v>
      </c>
      <c r="H490" s="94"/>
      <c r="I490" s="51"/>
      <c r="J490" s="94"/>
      <c r="K490" s="94"/>
    </row>
    <row r="491" ht="22.5" customHeight="1">
      <c r="A491" s="37">
        <v>489.0</v>
      </c>
      <c r="B491" s="55" t="s">
        <v>753</v>
      </c>
      <c r="C491" s="130"/>
      <c r="D491" s="78">
        <v>45931.0</v>
      </c>
      <c r="E491" s="61">
        <v>12000.0</v>
      </c>
      <c r="F491" s="130"/>
      <c r="G491" s="61">
        <f t="shared" si="4"/>
        <v>12000</v>
      </c>
      <c r="H491" s="94"/>
      <c r="I491" s="51"/>
      <c r="J491" s="94"/>
      <c r="K491" s="94"/>
    </row>
    <row r="492" ht="22.5" customHeight="1">
      <c r="A492" s="55">
        <v>490.0</v>
      </c>
      <c r="B492" s="55" t="s">
        <v>754</v>
      </c>
      <c r="C492" s="130"/>
      <c r="D492" s="78">
        <v>45931.0</v>
      </c>
      <c r="E492" s="61">
        <v>15000.0</v>
      </c>
      <c r="F492" s="130"/>
      <c r="G492" s="61">
        <f t="shared" si="4"/>
        <v>15000</v>
      </c>
      <c r="H492" s="94"/>
      <c r="I492" s="51"/>
      <c r="J492" s="94"/>
      <c r="K492" s="94"/>
    </row>
    <row r="493" ht="22.5" customHeight="1">
      <c r="A493" s="37">
        <v>491.0</v>
      </c>
      <c r="B493" s="55" t="s">
        <v>88</v>
      </c>
      <c r="C493" s="130"/>
      <c r="D493" s="78">
        <v>45931.0</v>
      </c>
      <c r="E493" s="61">
        <v>10000.0</v>
      </c>
      <c r="F493" s="130"/>
      <c r="G493" s="61">
        <f t="shared" si="4"/>
        <v>10000</v>
      </c>
      <c r="H493" s="94"/>
      <c r="I493" s="51"/>
      <c r="J493" s="94"/>
      <c r="K493" s="94"/>
    </row>
    <row r="494" ht="22.5" customHeight="1">
      <c r="A494" s="55">
        <v>492.0</v>
      </c>
      <c r="B494" s="55" t="s">
        <v>225</v>
      </c>
      <c r="C494" s="130"/>
      <c r="D494" s="78">
        <v>45931.0</v>
      </c>
      <c r="E494" s="61">
        <v>18000.0</v>
      </c>
      <c r="F494" s="130"/>
      <c r="G494" s="61">
        <f t="shared" si="4"/>
        <v>18000</v>
      </c>
      <c r="H494" s="94"/>
      <c r="I494" s="51"/>
      <c r="J494" s="94"/>
      <c r="K494" s="94"/>
    </row>
    <row r="495" ht="22.5" customHeight="1">
      <c r="A495" s="37">
        <v>493.0</v>
      </c>
      <c r="B495" s="55" t="s">
        <v>109</v>
      </c>
      <c r="C495" s="130"/>
      <c r="D495" s="78">
        <v>45933.0</v>
      </c>
      <c r="E495" s="61">
        <v>14583.0</v>
      </c>
      <c r="F495" s="130"/>
      <c r="G495" s="61">
        <f t="shared" si="4"/>
        <v>14583</v>
      </c>
      <c r="H495" s="94"/>
      <c r="I495" s="51"/>
      <c r="J495" s="94"/>
      <c r="K495" s="94"/>
    </row>
    <row r="496" ht="22.5" customHeight="1">
      <c r="A496" s="55">
        <v>494.0</v>
      </c>
      <c r="B496" s="55" t="s">
        <v>754</v>
      </c>
      <c r="C496" s="130"/>
      <c r="D496" s="78">
        <v>45934.0</v>
      </c>
      <c r="E496" s="61">
        <v>28000.0</v>
      </c>
      <c r="F496" s="130"/>
      <c r="G496" s="61">
        <f t="shared" si="4"/>
        <v>28000</v>
      </c>
      <c r="H496" s="94"/>
      <c r="I496" s="51"/>
      <c r="J496" s="94"/>
      <c r="K496" s="94"/>
    </row>
    <row r="497" ht="22.5" customHeight="1">
      <c r="A497" s="37">
        <v>495.0</v>
      </c>
      <c r="B497" s="55" t="s">
        <v>755</v>
      </c>
      <c r="C497" s="130"/>
      <c r="D497" s="78">
        <v>45935.0</v>
      </c>
      <c r="E497" s="61">
        <v>7250.0</v>
      </c>
      <c r="F497" s="130"/>
      <c r="G497" s="61">
        <f t="shared" si="4"/>
        <v>7250</v>
      </c>
      <c r="H497" s="94"/>
      <c r="I497" s="51"/>
      <c r="J497" s="94"/>
      <c r="K497" s="94"/>
    </row>
    <row r="498" ht="22.5" customHeight="1">
      <c r="A498" s="55">
        <v>496.0</v>
      </c>
      <c r="B498" s="55" t="s">
        <v>756</v>
      </c>
      <c r="C498" s="130"/>
      <c r="D498" s="78">
        <v>45935.0</v>
      </c>
      <c r="E498" s="61">
        <v>5000.0</v>
      </c>
      <c r="F498" s="130"/>
      <c r="G498" s="61">
        <f t="shared" si="4"/>
        <v>5000</v>
      </c>
      <c r="H498" s="94"/>
      <c r="I498" s="51"/>
      <c r="J498" s="94"/>
      <c r="K498" s="94"/>
    </row>
    <row r="499" ht="22.5" customHeight="1">
      <c r="A499" s="37">
        <v>497.0</v>
      </c>
      <c r="B499" s="55" t="s">
        <v>757</v>
      </c>
      <c r="C499" s="130"/>
      <c r="D499" s="78">
        <v>45935.0</v>
      </c>
      <c r="E499" s="61">
        <v>79159.0</v>
      </c>
      <c r="F499" s="130"/>
      <c r="G499" s="61">
        <f t="shared" si="4"/>
        <v>79159</v>
      </c>
      <c r="H499" s="94"/>
      <c r="I499" s="51"/>
      <c r="J499" s="94"/>
      <c r="K499" s="94"/>
    </row>
    <row r="500" ht="22.5" customHeight="1">
      <c r="A500" s="55">
        <v>498.0</v>
      </c>
      <c r="B500" s="55" t="s">
        <v>686</v>
      </c>
      <c r="C500" s="130"/>
      <c r="D500" s="78">
        <v>45936.0</v>
      </c>
      <c r="E500" s="61">
        <v>200000.0</v>
      </c>
      <c r="F500" s="130"/>
      <c r="G500" s="61">
        <f t="shared" si="4"/>
        <v>200000</v>
      </c>
      <c r="H500" s="94"/>
      <c r="I500" s="51"/>
      <c r="J500" s="94"/>
      <c r="K500" s="94"/>
    </row>
    <row r="501" ht="22.5" customHeight="1">
      <c r="A501" s="37">
        <v>499.0</v>
      </c>
      <c r="B501" s="55" t="s">
        <v>142</v>
      </c>
      <c r="C501" s="130"/>
      <c r="D501" s="78">
        <v>45936.0</v>
      </c>
      <c r="E501" s="61">
        <v>44100.0</v>
      </c>
      <c r="F501" s="130"/>
      <c r="G501" s="61">
        <f t="shared" si="4"/>
        <v>44100</v>
      </c>
      <c r="H501" s="94"/>
      <c r="I501" s="51"/>
      <c r="J501" s="94"/>
      <c r="K501" s="94"/>
    </row>
    <row r="502" ht="22.5" customHeight="1">
      <c r="A502" s="55">
        <v>500.0</v>
      </c>
      <c r="B502" s="55" t="s">
        <v>758</v>
      </c>
      <c r="C502" s="130"/>
      <c r="D502" s="78">
        <v>45936.0</v>
      </c>
      <c r="E502" s="61">
        <v>65000.0</v>
      </c>
      <c r="F502" s="130"/>
      <c r="G502" s="61">
        <f t="shared" si="4"/>
        <v>65000</v>
      </c>
      <c r="H502" s="94"/>
      <c r="I502" s="51"/>
      <c r="J502" s="94"/>
      <c r="K502" s="94"/>
    </row>
    <row r="503" ht="22.5" customHeight="1">
      <c r="A503" s="37">
        <v>501.0</v>
      </c>
      <c r="B503" s="55" t="s">
        <v>759</v>
      </c>
      <c r="C503" s="130"/>
      <c r="D503" s="78">
        <v>45936.0</v>
      </c>
      <c r="E503" s="61">
        <v>23600.0</v>
      </c>
      <c r="F503" s="130"/>
      <c r="G503" s="61">
        <f t="shared" si="4"/>
        <v>23600</v>
      </c>
      <c r="H503" s="94"/>
      <c r="I503" s="51"/>
      <c r="J503" s="94"/>
      <c r="K503" s="94"/>
    </row>
    <row r="504" ht="22.5" customHeight="1">
      <c r="A504" s="55">
        <v>502.0</v>
      </c>
      <c r="B504" s="55" t="s">
        <v>109</v>
      </c>
      <c r="C504" s="130"/>
      <c r="D504" s="78">
        <v>45937.0</v>
      </c>
      <c r="E504" s="61">
        <v>5657.0</v>
      </c>
      <c r="F504" s="130"/>
      <c r="G504" s="61">
        <f t="shared" si="4"/>
        <v>5657</v>
      </c>
      <c r="H504" s="94"/>
      <c r="I504" s="51"/>
      <c r="J504" s="94"/>
      <c r="K504" s="94"/>
    </row>
    <row r="505" ht="22.5" customHeight="1">
      <c r="A505" s="37">
        <v>503.0</v>
      </c>
      <c r="B505" s="55" t="s">
        <v>109</v>
      </c>
      <c r="C505" s="130"/>
      <c r="D505" s="78">
        <v>45938.0</v>
      </c>
      <c r="E505" s="61">
        <v>6388.0</v>
      </c>
      <c r="F505" s="130"/>
      <c r="G505" s="61">
        <f t="shared" si="4"/>
        <v>6388</v>
      </c>
      <c r="H505" s="94"/>
      <c r="I505" s="51"/>
      <c r="J505" s="94"/>
      <c r="K505" s="94"/>
    </row>
    <row r="506" ht="22.5" customHeight="1">
      <c r="A506" s="55">
        <v>504.0</v>
      </c>
      <c r="B506" s="55" t="s">
        <v>109</v>
      </c>
      <c r="C506" s="130"/>
      <c r="D506" s="78">
        <v>45938.0</v>
      </c>
      <c r="E506" s="61">
        <v>5403.0</v>
      </c>
      <c r="F506" s="130"/>
      <c r="G506" s="61">
        <f t="shared" si="4"/>
        <v>5403</v>
      </c>
      <c r="H506" s="94"/>
      <c r="I506" s="51"/>
      <c r="J506" s="94"/>
      <c r="K506" s="94"/>
    </row>
    <row r="507" ht="22.5" customHeight="1">
      <c r="A507" s="37">
        <v>505.0</v>
      </c>
      <c r="B507" s="55" t="s">
        <v>686</v>
      </c>
      <c r="C507" s="130"/>
      <c r="D507" s="78">
        <v>45938.0</v>
      </c>
      <c r="E507" s="61">
        <v>200000.0</v>
      </c>
      <c r="F507" s="130"/>
      <c r="G507" s="61">
        <f t="shared" si="4"/>
        <v>200000</v>
      </c>
      <c r="H507" s="94"/>
      <c r="I507" s="51"/>
      <c r="J507" s="94"/>
      <c r="K507" s="94"/>
    </row>
    <row r="508" ht="22.5" customHeight="1">
      <c r="A508" s="55">
        <v>506.0</v>
      </c>
      <c r="B508" s="55" t="s">
        <v>760</v>
      </c>
      <c r="C508" s="130"/>
      <c r="D508" s="78">
        <v>45938.0</v>
      </c>
      <c r="E508" s="61">
        <v>13000.0</v>
      </c>
      <c r="F508" s="130"/>
      <c r="G508" s="61">
        <f t="shared" si="4"/>
        <v>13000</v>
      </c>
      <c r="H508" s="94"/>
      <c r="I508" s="51"/>
      <c r="J508" s="94"/>
      <c r="K508" s="94"/>
    </row>
    <row r="509" ht="22.5" customHeight="1">
      <c r="A509" s="37">
        <v>507.0</v>
      </c>
      <c r="B509" s="55" t="s">
        <v>690</v>
      </c>
      <c r="C509" s="130"/>
      <c r="D509" s="78">
        <v>45938.0</v>
      </c>
      <c r="E509" s="61">
        <v>26100.0</v>
      </c>
      <c r="F509" s="130"/>
      <c r="G509" s="61">
        <f t="shared" si="4"/>
        <v>26100</v>
      </c>
      <c r="H509" s="94"/>
      <c r="I509" s="51"/>
      <c r="J509" s="94"/>
      <c r="K509" s="94"/>
    </row>
    <row r="510" ht="22.5" customHeight="1">
      <c r="A510" s="55">
        <v>508.0</v>
      </c>
      <c r="B510" s="55" t="s">
        <v>118</v>
      </c>
      <c r="C510" s="130"/>
      <c r="D510" s="78">
        <v>45938.0</v>
      </c>
      <c r="E510" s="61">
        <v>462.0</v>
      </c>
      <c r="F510" s="130"/>
      <c r="G510" s="61">
        <f t="shared" si="4"/>
        <v>462</v>
      </c>
      <c r="H510" s="94"/>
      <c r="I510" s="51"/>
      <c r="J510" s="94"/>
      <c r="K510" s="94"/>
    </row>
    <row r="511" ht="22.5" customHeight="1">
      <c r="A511" s="37">
        <v>509.0</v>
      </c>
      <c r="B511" s="55" t="s">
        <v>761</v>
      </c>
      <c r="C511" s="130"/>
      <c r="D511" s="78">
        <v>45938.0</v>
      </c>
      <c r="E511" s="61">
        <v>10000.0</v>
      </c>
      <c r="F511" s="130"/>
      <c r="G511" s="61">
        <f t="shared" si="4"/>
        <v>10000</v>
      </c>
      <c r="H511" s="94"/>
      <c r="I511" s="51"/>
      <c r="J511" s="94"/>
      <c r="K511" s="94"/>
    </row>
    <row r="512" ht="22.5" customHeight="1">
      <c r="A512" s="55">
        <v>510.0</v>
      </c>
      <c r="B512" s="55" t="s">
        <v>762</v>
      </c>
      <c r="C512" s="130"/>
      <c r="D512" s="78">
        <v>45939.0</v>
      </c>
      <c r="E512" s="61">
        <v>21395.0</v>
      </c>
      <c r="F512" s="130"/>
      <c r="G512" s="61">
        <f t="shared" si="4"/>
        <v>21395</v>
      </c>
      <c r="H512" s="94"/>
      <c r="I512" s="51"/>
      <c r="J512" s="94"/>
      <c r="K512" s="94"/>
    </row>
    <row r="513" ht="22.5" customHeight="1">
      <c r="A513" s="37">
        <v>511.0</v>
      </c>
      <c r="B513" s="55" t="s">
        <v>763</v>
      </c>
      <c r="C513" s="130"/>
      <c r="D513" s="78">
        <v>45939.0</v>
      </c>
      <c r="E513" s="61">
        <v>3950.0</v>
      </c>
      <c r="F513" s="130"/>
      <c r="G513" s="61">
        <f t="shared" si="4"/>
        <v>3950</v>
      </c>
      <c r="H513" s="94"/>
      <c r="I513" s="51"/>
      <c r="J513" s="94"/>
      <c r="K513" s="94"/>
    </row>
    <row r="514" ht="22.5" customHeight="1">
      <c r="A514" s="55">
        <v>512.0</v>
      </c>
      <c r="B514" s="55" t="s">
        <v>764</v>
      </c>
      <c r="C514" s="130"/>
      <c r="D514" s="78">
        <v>45940.0</v>
      </c>
      <c r="E514" s="61">
        <v>10000.0</v>
      </c>
      <c r="F514" s="130"/>
      <c r="G514" s="61">
        <f t="shared" si="4"/>
        <v>10000</v>
      </c>
      <c r="H514" s="94"/>
      <c r="I514" s="51"/>
      <c r="J514" s="94"/>
      <c r="K514" s="94"/>
    </row>
    <row r="515" ht="22.5" customHeight="1">
      <c r="A515" s="37">
        <v>513.0</v>
      </c>
      <c r="B515" s="55" t="s">
        <v>765</v>
      </c>
      <c r="C515" s="130"/>
      <c r="D515" s="78">
        <v>45940.0</v>
      </c>
      <c r="E515" s="61">
        <v>875.0</v>
      </c>
      <c r="F515" s="130"/>
      <c r="G515" s="61">
        <f t="shared" si="4"/>
        <v>875</v>
      </c>
      <c r="H515" s="94"/>
      <c r="I515" s="51"/>
      <c r="J515" s="94"/>
      <c r="K515" s="94"/>
    </row>
    <row r="516" ht="22.5" customHeight="1">
      <c r="A516" s="55">
        <v>514.0</v>
      </c>
      <c r="B516" s="55" t="s">
        <v>673</v>
      </c>
      <c r="C516" s="130"/>
      <c r="D516" s="78">
        <v>45940.0</v>
      </c>
      <c r="E516" s="61">
        <v>47200.0</v>
      </c>
      <c r="F516" s="130"/>
      <c r="G516" s="61">
        <f t="shared" si="4"/>
        <v>47200</v>
      </c>
      <c r="H516" s="94"/>
      <c r="I516" s="51"/>
      <c r="J516" s="94"/>
      <c r="K516" s="94"/>
    </row>
    <row r="517" ht="22.5" customHeight="1">
      <c r="A517" s="37">
        <v>515.0</v>
      </c>
      <c r="B517" s="55" t="s">
        <v>673</v>
      </c>
      <c r="C517" s="130"/>
      <c r="D517" s="78">
        <v>45940.0</v>
      </c>
      <c r="E517" s="61">
        <v>29500.0</v>
      </c>
      <c r="F517" s="130"/>
      <c r="G517" s="61">
        <f t="shared" si="4"/>
        <v>29500</v>
      </c>
      <c r="H517" s="94"/>
      <c r="I517" s="51"/>
      <c r="J517" s="94"/>
      <c r="K517" s="94"/>
    </row>
    <row r="518" ht="22.5" customHeight="1">
      <c r="A518" s="55">
        <v>516.0</v>
      </c>
      <c r="B518" s="55" t="s">
        <v>109</v>
      </c>
      <c r="C518" s="130"/>
      <c r="D518" s="78">
        <v>45941.0</v>
      </c>
      <c r="E518" s="61">
        <v>6797.0</v>
      </c>
      <c r="F518" s="130"/>
      <c r="G518" s="61">
        <f t="shared" si="4"/>
        <v>6797</v>
      </c>
      <c r="H518" s="94"/>
      <c r="I518" s="51"/>
      <c r="J518" s="94"/>
      <c r="K518" s="94"/>
    </row>
    <row r="519" ht="22.5" customHeight="1">
      <c r="A519" s="37">
        <v>517.0</v>
      </c>
      <c r="B519" s="55" t="s">
        <v>722</v>
      </c>
      <c r="C519" s="130"/>
      <c r="D519" s="78">
        <v>45942.0</v>
      </c>
      <c r="E519" s="61">
        <v>1850.0</v>
      </c>
      <c r="F519" s="130"/>
      <c r="G519" s="61">
        <f t="shared" si="4"/>
        <v>1850</v>
      </c>
      <c r="H519" s="94"/>
      <c r="I519" s="51"/>
      <c r="J519" s="94"/>
      <c r="K519" s="94"/>
    </row>
    <row r="520" ht="22.5" customHeight="1">
      <c r="A520" s="55">
        <v>518.0</v>
      </c>
      <c r="B520" s="55" t="s">
        <v>766</v>
      </c>
      <c r="C520" s="130"/>
      <c r="D520" s="78">
        <v>45943.0</v>
      </c>
      <c r="E520" s="61">
        <v>5000.0</v>
      </c>
      <c r="F520" s="130"/>
      <c r="G520" s="61">
        <f t="shared" si="4"/>
        <v>5000</v>
      </c>
      <c r="H520" s="94"/>
      <c r="I520" s="51"/>
      <c r="J520" s="94"/>
      <c r="K520" s="94"/>
    </row>
    <row r="521" ht="22.5" customHeight="1">
      <c r="A521" s="37">
        <v>519.0</v>
      </c>
      <c r="B521" s="55" t="s">
        <v>41</v>
      </c>
      <c r="C521" s="130"/>
      <c r="D521" s="78">
        <v>45943.0</v>
      </c>
      <c r="E521" s="61">
        <v>10000.0</v>
      </c>
      <c r="F521" s="130"/>
      <c r="G521" s="61">
        <f t="shared" si="4"/>
        <v>10000</v>
      </c>
      <c r="H521" s="94"/>
      <c r="I521" s="51"/>
      <c r="J521" s="94"/>
      <c r="K521" s="94"/>
    </row>
    <row r="522" ht="22.5" customHeight="1">
      <c r="A522" s="55">
        <v>520.0</v>
      </c>
      <c r="B522" s="55" t="s">
        <v>767</v>
      </c>
      <c r="C522" s="130"/>
      <c r="D522" s="78">
        <v>45943.0</v>
      </c>
      <c r="E522" s="61">
        <v>20000.0</v>
      </c>
      <c r="F522" s="130"/>
      <c r="G522" s="61">
        <f t="shared" si="4"/>
        <v>20000</v>
      </c>
      <c r="H522" s="94"/>
      <c r="I522" s="51"/>
      <c r="J522" s="94"/>
      <c r="K522" s="94"/>
    </row>
    <row r="523" ht="22.5" customHeight="1">
      <c r="A523" s="37">
        <v>521.0</v>
      </c>
      <c r="B523" s="55" t="s">
        <v>768</v>
      </c>
      <c r="C523" s="130"/>
      <c r="D523" s="78">
        <v>45943.0</v>
      </c>
      <c r="E523" s="61">
        <v>15500.0</v>
      </c>
      <c r="F523" s="130"/>
      <c r="G523" s="61">
        <f t="shared" si="4"/>
        <v>15500</v>
      </c>
      <c r="H523" s="94"/>
      <c r="I523" s="51"/>
      <c r="J523" s="94"/>
      <c r="K523" s="94"/>
    </row>
    <row r="524" ht="22.5" customHeight="1">
      <c r="A524" s="55">
        <v>522.0</v>
      </c>
      <c r="B524" s="55" t="s">
        <v>88</v>
      </c>
      <c r="C524" s="130"/>
      <c r="D524" s="78">
        <v>45943.0</v>
      </c>
      <c r="E524" s="61">
        <v>63000.0</v>
      </c>
      <c r="F524" s="130"/>
      <c r="G524" s="61">
        <f t="shared" si="4"/>
        <v>63000</v>
      </c>
      <c r="H524" s="94"/>
      <c r="I524" s="51"/>
      <c r="J524" s="94"/>
      <c r="K524" s="94"/>
    </row>
    <row r="525" ht="22.5" customHeight="1">
      <c r="A525" s="37">
        <v>523.0</v>
      </c>
      <c r="B525" s="55" t="s">
        <v>769</v>
      </c>
      <c r="C525" s="130"/>
      <c r="D525" s="78">
        <v>45943.0</v>
      </c>
      <c r="E525" s="61">
        <v>45000.0</v>
      </c>
      <c r="F525" s="130"/>
      <c r="G525" s="61">
        <f t="shared" si="4"/>
        <v>45000</v>
      </c>
      <c r="H525" s="94"/>
      <c r="I525" s="51"/>
      <c r="J525" s="94"/>
      <c r="K525" s="94"/>
    </row>
    <row r="526" ht="22.5" customHeight="1">
      <c r="A526" s="55">
        <v>524.0</v>
      </c>
      <c r="B526" s="55" t="s">
        <v>770</v>
      </c>
      <c r="C526" s="130"/>
      <c r="D526" s="78">
        <v>45944.0</v>
      </c>
      <c r="E526" s="61">
        <v>18000.0</v>
      </c>
      <c r="F526" s="130"/>
      <c r="G526" s="61">
        <f t="shared" si="4"/>
        <v>18000</v>
      </c>
      <c r="H526" s="94"/>
      <c r="I526" s="51"/>
      <c r="J526" s="94"/>
      <c r="K526" s="94"/>
    </row>
    <row r="527" ht="22.5" customHeight="1">
      <c r="A527" s="37">
        <v>525.0</v>
      </c>
      <c r="B527" s="55" t="s">
        <v>764</v>
      </c>
      <c r="C527" s="130"/>
      <c r="D527" s="78">
        <v>45944.0</v>
      </c>
      <c r="E527" s="61">
        <v>20000.0</v>
      </c>
      <c r="F527" s="130"/>
      <c r="G527" s="61">
        <f t="shared" si="4"/>
        <v>20000</v>
      </c>
      <c r="H527" s="94"/>
      <c r="I527" s="51"/>
      <c r="J527" s="94"/>
      <c r="K527" s="94"/>
    </row>
    <row r="528" ht="22.5" customHeight="1">
      <c r="A528" s="55">
        <v>526.0</v>
      </c>
      <c r="B528" s="55" t="s">
        <v>754</v>
      </c>
      <c r="C528" s="130"/>
      <c r="D528" s="78">
        <v>45944.0</v>
      </c>
      <c r="E528" s="61">
        <v>34000.0</v>
      </c>
      <c r="F528" s="130"/>
      <c r="G528" s="61">
        <f t="shared" si="4"/>
        <v>34000</v>
      </c>
      <c r="H528" s="94"/>
      <c r="I528" s="51"/>
      <c r="J528" s="94"/>
      <c r="K528" s="94"/>
    </row>
    <row r="529" ht="22.5" customHeight="1">
      <c r="A529" s="37">
        <v>527.0</v>
      </c>
      <c r="B529" s="55" t="s">
        <v>771</v>
      </c>
      <c r="C529" s="130"/>
      <c r="D529" s="78">
        <v>45944.0</v>
      </c>
      <c r="E529" s="61">
        <v>8000.0</v>
      </c>
      <c r="F529" s="130"/>
      <c r="G529" s="61">
        <f t="shared" si="4"/>
        <v>8000</v>
      </c>
      <c r="H529" s="94"/>
      <c r="I529" s="51"/>
      <c r="J529" s="94"/>
      <c r="K529" s="94"/>
    </row>
    <row r="530" ht="22.5" customHeight="1">
      <c r="A530" s="55">
        <v>528.0</v>
      </c>
      <c r="B530" s="55" t="s">
        <v>762</v>
      </c>
      <c r="C530" s="130"/>
      <c r="D530" s="78">
        <v>45944.0</v>
      </c>
      <c r="E530" s="61">
        <v>40000.0</v>
      </c>
      <c r="F530" s="130"/>
      <c r="G530" s="61">
        <f t="shared" si="4"/>
        <v>40000</v>
      </c>
      <c r="H530" s="94"/>
      <c r="I530" s="51"/>
      <c r="J530" s="94"/>
      <c r="K530" s="94"/>
    </row>
    <row r="531" ht="22.5" customHeight="1">
      <c r="A531" s="37">
        <v>529.0</v>
      </c>
      <c r="B531" s="55" t="s">
        <v>109</v>
      </c>
      <c r="C531" s="130"/>
      <c r="D531" s="78">
        <v>45944.0</v>
      </c>
      <c r="E531" s="61">
        <v>22742.0</v>
      </c>
      <c r="F531" s="130"/>
      <c r="G531" s="61">
        <f t="shared" si="4"/>
        <v>22742</v>
      </c>
      <c r="H531" s="94"/>
      <c r="I531" s="51"/>
      <c r="J531" s="94"/>
      <c r="K531" s="94"/>
    </row>
    <row r="532" ht="22.5" customHeight="1">
      <c r="A532" s="55">
        <v>530.0</v>
      </c>
      <c r="B532" s="55" t="s">
        <v>769</v>
      </c>
      <c r="C532" s="130"/>
      <c r="D532" s="78">
        <v>45945.0</v>
      </c>
      <c r="E532" s="61">
        <v>60000.0</v>
      </c>
      <c r="F532" s="130"/>
      <c r="G532" s="61">
        <f t="shared" si="4"/>
        <v>60000</v>
      </c>
      <c r="H532" s="94"/>
      <c r="I532" s="51"/>
      <c r="J532" s="94"/>
      <c r="K532" s="94"/>
    </row>
    <row r="533" ht="22.5" customHeight="1">
      <c r="A533" s="37">
        <v>531.0</v>
      </c>
      <c r="B533" s="55" t="s">
        <v>225</v>
      </c>
      <c r="C533" s="130"/>
      <c r="D533" s="78">
        <v>45945.0</v>
      </c>
      <c r="E533" s="61">
        <v>50274.0</v>
      </c>
      <c r="F533" s="130"/>
      <c r="G533" s="61">
        <f t="shared" si="4"/>
        <v>50274</v>
      </c>
      <c r="H533" s="94"/>
      <c r="I533" s="51"/>
      <c r="J533" s="94"/>
      <c r="K533" s="94"/>
    </row>
    <row r="534" ht="22.5" customHeight="1">
      <c r="A534" s="55">
        <v>532.0</v>
      </c>
      <c r="B534" s="55" t="s">
        <v>109</v>
      </c>
      <c r="C534" s="130"/>
      <c r="D534" s="78">
        <v>45945.0</v>
      </c>
      <c r="E534" s="61">
        <v>40000.0</v>
      </c>
      <c r="F534" s="130"/>
      <c r="G534" s="61">
        <f t="shared" si="4"/>
        <v>40000</v>
      </c>
      <c r="H534" s="94"/>
      <c r="I534" s="51"/>
      <c r="J534" s="94"/>
      <c r="K534" s="94"/>
    </row>
    <row r="535" ht="22.5" customHeight="1">
      <c r="A535" s="37">
        <v>533.0</v>
      </c>
      <c r="B535" s="55" t="s">
        <v>109</v>
      </c>
      <c r="C535" s="130"/>
      <c r="D535" s="78">
        <v>45945.0</v>
      </c>
      <c r="E535" s="61">
        <v>13620.0</v>
      </c>
      <c r="F535" s="130"/>
      <c r="G535" s="61">
        <f t="shared" si="4"/>
        <v>13620</v>
      </c>
      <c r="H535" s="94"/>
      <c r="I535" s="51"/>
      <c r="J535" s="94"/>
      <c r="K535" s="94"/>
    </row>
    <row r="536" ht="22.5" customHeight="1">
      <c r="A536" s="55">
        <v>534.0</v>
      </c>
      <c r="B536" s="55" t="s">
        <v>772</v>
      </c>
      <c r="C536" s="130"/>
      <c r="D536" s="78">
        <v>45945.0</v>
      </c>
      <c r="E536" s="61">
        <v>34810.0</v>
      </c>
      <c r="F536" s="130"/>
      <c r="G536" s="61">
        <f t="shared" si="4"/>
        <v>34810</v>
      </c>
      <c r="H536" s="94"/>
      <c r="I536" s="51"/>
      <c r="J536" s="94"/>
      <c r="K536" s="94"/>
    </row>
    <row r="537" ht="22.5" customHeight="1">
      <c r="A537" s="37">
        <v>535.0</v>
      </c>
      <c r="B537" s="55" t="s">
        <v>762</v>
      </c>
      <c r="C537" s="130"/>
      <c r="D537" s="78">
        <v>45945.0</v>
      </c>
      <c r="E537" s="61">
        <v>13999.0</v>
      </c>
      <c r="F537" s="130"/>
      <c r="G537" s="61">
        <f t="shared" si="4"/>
        <v>13999</v>
      </c>
      <c r="H537" s="94"/>
      <c r="I537" s="51"/>
      <c r="J537" s="94"/>
      <c r="K537" s="94"/>
    </row>
    <row r="538" ht="22.5" customHeight="1">
      <c r="A538" s="55">
        <v>536.0</v>
      </c>
      <c r="B538" s="174" t="s">
        <v>773</v>
      </c>
      <c r="C538" s="130"/>
      <c r="D538" s="78">
        <v>45945.0</v>
      </c>
      <c r="E538" s="61">
        <v>50000.0</v>
      </c>
      <c r="F538" s="130"/>
      <c r="G538" s="61">
        <f t="shared" si="4"/>
        <v>50000</v>
      </c>
      <c r="H538" s="94"/>
      <c r="I538" s="51"/>
      <c r="J538" s="94"/>
      <c r="K538" s="94"/>
    </row>
    <row r="539" ht="22.5" customHeight="1">
      <c r="A539" s="37">
        <v>537.0</v>
      </c>
      <c r="B539" s="55" t="s">
        <v>293</v>
      </c>
      <c r="C539" s="130"/>
      <c r="D539" s="78">
        <v>45945.0</v>
      </c>
      <c r="E539" s="61">
        <v>16651.0</v>
      </c>
      <c r="F539" s="130"/>
      <c r="G539" s="61">
        <f t="shared" si="4"/>
        <v>16651</v>
      </c>
      <c r="H539" s="94"/>
      <c r="I539" s="51"/>
      <c r="J539" s="94"/>
      <c r="K539" s="94"/>
    </row>
    <row r="540" ht="22.5" customHeight="1">
      <c r="A540" s="55">
        <v>538.0</v>
      </c>
      <c r="B540" s="55" t="s">
        <v>774</v>
      </c>
      <c r="C540" s="130"/>
      <c r="D540" s="78">
        <v>45945.0</v>
      </c>
      <c r="E540" s="61">
        <v>15000.0</v>
      </c>
      <c r="F540" s="130"/>
      <c r="G540" s="61">
        <f t="shared" si="4"/>
        <v>15000</v>
      </c>
      <c r="H540" s="94"/>
      <c r="I540" s="51"/>
      <c r="J540" s="94"/>
      <c r="K540" s="94"/>
    </row>
    <row r="541" ht="22.5" customHeight="1">
      <c r="A541" s="37">
        <v>539.0</v>
      </c>
      <c r="B541" s="55" t="s">
        <v>705</v>
      </c>
      <c r="C541" s="130"/>
      <c r="D541" s="78">
        <v>45945.0</v>
      </c>
      <c r="E541" s="61">
        <v>2986.0</v>
      </c>
      <c r="F541" s="130"/>
      <c r="G541" s="61">
        <f t="shared" si="4"/>
        <v>2986</v>
      </c>
      <c r="H541" s="94"/>
      <c r="I541" s="51"/>
      <c r="J541" s="94"/>
      <c r="K541" s="94"/>
    </row>
    <row r="542" ht="22.5" customHeight="1">
      <c r="A542" s="55">
        <v>540.0</v>
      </c>
      <c r="B542" s="55" t="s">
        <v>775</v>
      </c>
      <c r="C542" s="130"/>
      <c r="D542" s="78">
        <v>45945.0</v>
      </c>
      <c r="E542" s="61">
        <v>16000.0</v>
      </c>
      <c r="F542" s="130"/>
      <c r="G542" s="61">
        <f t="shared" si="4"/>
        <v>16000</v>
      </c>
      <c r="H542" s="94"/>
      <c r="I542" s="51"/>
      <c r="J542" s="94"/>
      <c r="K542" s="94"/>
    </row>
    <row r="543" ht="22.5" customHeight="1">
      <c r="A543" s="37">
        <v>541.0</v>
      </c>
      <c r="B543" s="55" t="s">
        <v>202</v>
      </c>
      <c r="C543" s="130"/>
      <c r="D543" s="78">
        <v>45945.0</v>
      </c>
      <c r="E543" s="61">
        <v>10000.0</v>
      </c>
      <c r="F543" s="130"/>
      <c r="G543" s="61">
        <f t="shared" si="4"/>
        <v>10000</v>
      </c>
      <c r="H543" s="94"/>
      <c r="I543" s="51"/>
      <c r="J543" s="94"/>
      <c r="K543" s="94"/>
    </row>
    <row r="544" ht="22.5" customHeight="1">
      <c r="A544" s="55">
        <v>542.0</v>
      </c>
      <c r="B544" s="55" t="s">
        <v>776</v>
      </c>
      <c r="C544" s="130"/>
      <c r="D544" s="78">
        <v>45945.0</v>
      </c>
      <c r="E544" s="61">
        <v>60000.0</v>
      </c>
      <c r="F544" s="130"/>
      <c r="G544" s="61">
        <f t="shared" si="4"/>
        <v>60000</v>
      </c>
      <c r="H544" s="94"/>
      <c r="I544" s="51"/>
      <c r="J544" s="94"/>
      <c r="K544" s="94"/>
    </row>
    <row r="545" ht="22.5" customHeight="1">
      <c r="A545" s="37">
        <v>543.0</v>
      </c>
      <c r="B545" s="55" t="s">
        <v>109</v>
      </c>
      <c r="C545" s="130"/>
      <c r="D545" s="78">
        <v>45946.0</v>
      </c>
      <c r="E545" s="61">
        <v>20000.0</v>
      </c>
      <c r="F545" s="130"/>
      <c r="G545" s="61">
        <f t="shared" si="4"/>
        <v>20000</v>
      </c>
      <c r="H545" s="94"/>
      <c r="I545" s="51"/>
      <c r="J545" s="94"/>
      <c r="K545" s="94"/>
    </row>
    <row r="546" ht="22.5" customHeight="1">
      <c r="A546" s="55">
        <v>544.0</v>
      </c>
      <c r="B546" s="55" t="s">
        <v>769</v>
      </c>
      <c r="C546" s="130"/>
      <c r="D546" s="78">
        <v>45946.0</v>
      </c>
      <c r="E546" s="61">
        <v>50000.0</v>
      </c>
      <c r="F546" s="130"/>
      <c r="G546" s="61">
        <f t="shared" si="4"/>
        <v>50000</v>
      </c>
      <c r="H546" s="94"/>
      <c r="I546" s="51"/>
      <c r="J546" s="94"/>
      <c r="K546" s="94"/>
    </row>
    <row r="547" ht="22.5" customHeight="1">
      <c r="A547" s="37">
        <v>545.0</v>
      </c>
      <c r="B547" s="55" t="s">
        <v>225</v>
      </c>
      <c r="C547" s="130"/>
      <c r="D547" s="78">
        <v>45946.0</v>
      </c>
      <c r="E547" s="61">
        <v>42266.0</v>
      </c>
      <c r="F547" s="130"/>
      <c r="G547" s="61">
        <f t="shared" si="4"/>
        <v>42266</v>
      </c>
      <c r="H547" s="94"/>
      <c r="I547" s="51"/>
      <c r="J547" s="94"/>
      <c r="K547" s="94"/>
    </row>
    <row r="548" ht="22.5" customHeight="1">
      <c r="A548" s="55">
        <v>546.0</v>
      </c>
      <c r="B548" s="55" t="s">
        <v>777</v>
      </c>
      <c r="C548" s="130"/>
      <c r="D548" s="78">
        <v>45946.0</v>
      </c>
      <c r="E548" s="61">
        <v>7875.0</v>
      </c>
      <c r="F548" s="130"/>
      <c r="G548" s="61">
        <f t="shared" si="4"/>
        <v>7875</v>
      </c>
      <c r="H548" s="94"/>
      <c r="I548" s="51"/>
      <c r="J548" s="94"/>
      <c r="K548" s="94"/>
    </row>
    <row r="549" ht="22.5" customHeight="1">
      <c r="A549" s="37">
        <v>547.0</v>
      </c>
      <c r="B549" s="55" t="s">
        <v>778</v>
      </c>
      <c r="C549" s="55"/>
      <c r="D549" s="78">
        <v>45946.0</v>
      </c>
      <c r="E549" s="61">
        <v>50000.0</v>
      </c>
      <c r="F549" s="130"/>
      <c r="G549" s="61">
        <f t="shared" si="4"/>
        <v>50000</v>
      </c>
      <c r="H549" s="94"/>
      <c r="I549" s="51"/>
      <c r="J549" s="94"/>
      <c r="K549" s="94"/>
    </row>
    <row r="550" ht="22.5" customHeight="1">
      <c r="A550" s="55">
        <v>548.0</v>
      </c>
      <c r="B550" s="55" t="s">
        <v>765</v>
      </c>
      <c r="C550" s="130"/>
      <c r="D550" s="78">
        <v>45946.0</v>
      </c>
      <c r="E550" s="61">
        <v>4347.0</v>
      </c>
      <c r="F550" s="130"/>
      <c r="G550" s="61">
        <f t="shared" si="4"/>
        <v>4347</v>
      </c>
      <c r="H550" s="94"/>
      <c r="I550" s="51"/>
      <c r="J550" s="94"/>
      <c r="K550" s="94"/>
    </row>
    <row r="551" ht="22.5" customHeight="1">
      <c r="A551" s="37">
        <v>549.0</v>
      </c>
      <c r="B551" s="55" t="s">
        <v>724</v>
      </c>
      <c r="C551" s="130"/>
      <c r="D551" s="78">
        <v>45946.0</v>
      </c>
      <c r="E551" s="61">
        <v>3668.0</v>
      </c>
      <c r="F551" s="130"/>
      <c r="G551" s="61">
        <f t="shared" si="4"/>
        <v>3668</v>
      </c>
      <c r="H551" s="94"/>
      <c r="I551" s="51"/>
      <c r="J551" s="94"/>
      <c r="K551" s="94"/>
    </row>
    <row r="552" ht="22.5" customHeight="1">
      <c r="A552" s="55">
        <v>550.0</v>
      </c>
      <c r="B552" s="55" t="s">
        <v>777</v>
      </c>
      <c r="C552" s="130"/>
      <c r="D552" s="78">
        <v>45947.0</v>
      </c>
      <c r="E552" s="61">
        <v>7875.0</v>
      </c>
      <c r="F552" s="130"/>
      <c r="G552" s="61">
        <f t="shared" si="4"/>
        <v>7875</v>
      </c>
      <c r="H552" s="94"/>
      <c r="I552" s="51"/>
      <c r="J552" s="94"/>
      <c r="K552" s="94"/>
    </row>
    <row r="553" ht="22.5" customHeight="1">
      <c r="A553" s="37">
        <v>551.0</v>
      </c>
      <c r="B553" s="55" t="s">
        <v>765</v>
      </c>
      <c r="C553" s="130"/>
      <c r="D553" s="78">
        <v>45947.0</v>
      </c>
      <c r="E553" s="61">
        <v>1816.0</v>
      </c>
      <c r="F553" s="130"/>
      <c r="G553" s="61">
        <f t="shared" si="4"/>
        <v>1816</v>
      </c>
      <c r="H553" s="94"/>
      <c r="I553" s="51"/>
      <c r="J553" s="94"/>
      <c r="K553" s="94"/>
    </row>
    <row r="554" ht="22.5" customHeight="1">
      <c r="A554" s="55">
        <v>552.0</v>
      </c>
      <c r="B554" s="55" t="s">
        <v>778</v>
      </c>
      <c r="C554" s="130"/>
      <c r="D554" s="78">
        <v>45947.0</v>
      </c>
      <c r="E554" s="61">
        <v>108000.0</v>
      </c>
      <c r="F554" s="130"/>
      <c r="G554" s="61">
        <f t="shared" si="4"/>
        <v>108000</v>
      </c>
      <c r="H554" s="94"/>
      <c r="I554" s="51"/>
      <c r="J554" s="94"/>
      <c r="K554" s="94"/>
    </row>
    <row r="555" ht="22.5" customHeight="1">
      <c r="A555" s="37">
        <v>553.0</v>
      </c>
      <c r="B555" s="55" t="s">
        <v>776</v>
      </c>
      <c r="C555" s="130"/>
      <c r="D555" s="78">
        <v>45948.0</v>
      </c>
      <c r="E555" s="61">
        <v>60000.0</v>
      </c>
      <c r="F555" s="130"/>
      <c r="G555" s="61">
        <f t="shared" si="4"/>
        <v>60000</v>
      </c>
      <c r="H555" s="94"/>
      <c r="I555" s="51"/>
      <c r="J555" s="94"/>
      <c r="K555" s="94"/>
    </row>
    <row r="556" ht="22.5" customHeight="1">
      <c r="A556" s="55">
        <v>554.0</v>
      </c>
      <c r="B556" s="55" t="s">
        <v>142</v>
      </c>
      <c r="C556" s="130"/>
      <c r="D556" s="78">
        <v>45948.0</v>
      </c>
      <c r="E556" s="61">
        <v>50000.0</v>
      </c>
      <c r="F556" s="130"/>
      <c r="G556" s="61">
        <f t="shared" si="4"/>
        <v>50000</v>
      </c>
      <c r="H556" s="94"/>
      <c r="I556" s="51"/>
      <c r="J556" s="94"/>
      <c r="K556" s="94"/>
    </row>
    <row r="557" ht="22.5" customHeight="1">
      <c r="A557" s="37">
        <v>555.0</v>
      </c>
      <c r="B557" s="55" t="s">
        <v>769</v>
      </c>
      <c r="C557" s="130"/>
      <c r="D557" s="78">
        <v>45948.0</v>
      </c>
      <c r="E557" s="61">
        <v>40000.0</v>
      </c>
      <c r="F557" s="130"/>
      <c r="G557" s="61">
        <f t="shared" si="4"/>
        <v>40000</v>
      </c>
      <c r="H557" s="94"/>
      <c r="I557" s="51"/>
      <c r="J557" s="94"/>
      <c r="K557" s="94"/>
    </row>
    <row r="558" ht="22.5" customHeight="1">
      <c r="A558" s="55">
        <v>556.0</v>
      </c>
      <c r="B558" s="55" t="s">
        <v>779</v>
      </c>
      <c r="C558" s="130"/>
      <c r="D558" s="78">
        <v>45948.0</v>
      </c>
      <c r="E558" s="61">
        <v>25000.0</v>
      </c>
      <c r="F558" s="130"/>
      <c r="G558" s="61">
        <f t="shared" si="4"/>
        <v>25000</v>
      </c>
      <c r="H558" s="94"/>
      <c r="I558" s="51"/>
      <c r="J558" s="94"/>
      <c r="K558" s="94"/>
    </row>
    <row r="559" ht="22.5" customHeight="1">
      <c r="A559" s="37">
        <v>557.0</v>
      </c>
      <c r="B559" s="55" t="s">
        <v>778</v>
      </c>
      <c r="C559" s="130"/>
      <c r="D559" s="78">
        <v>45948.0</v>
      </c>
      <c r="E559" s="61">
        <v>41720.0</v>
      </c>
      <c r="F559" s="130"/>
      <c r="G559" s="61">
        <f t="shared" si="4"/>
        <v>41720</v>
      </c>
      <c r="H559" s="94"/>
      <c r="I559" s="51"/>
      <c r="J559" s="94"/>
      <c r="K559" s="94"/>
    </row>
    <row r="560" ht="22.5" customHeight="1">
      <c r="A560" s="55">
        <v>558.0</v>
      </c>
      <c r="B560" s="55" t="s">
        <v>272</v>
      </c>
      <c r="C560" s="130"/>
      <c r="D560" s="78">
        <v>45948.0</v>
      </c>
      <c r="E560" s="61">
        <v>3028.81</v>
      </c>
      <c r="F560" s="130"/>
      <c r="G560" s="61">
        <f t="shared" si="4"/>
        <v>3028.81</v>
      </c>
      <c r="H560" s="94"/>
      <c r="I560" s="51"/>
      <c r="J560" s="94"/>
      <c r="K560" s="94"/>
    </row>
    <row r="561" ht="22.5" customHeight="1">
      <c r="A561" s="37">
        <v>559.0</v>
      </c>
      <c r="B561" s="55" t="s">
        <v>780</v>
      </c>
      <c r="C561" s="130"/>
      <c r="D561" s="78">
        <v>45948.0</v>
      </c>
      <c r="E561" s="61">
        <v>2661.68</v>
      </c>
      <c r="F561" s="130"/>
      <c r="G561" s="61">
        <f t="shared" si="4"/>
        <v>2661.68</v>
      </c>
      <c r="H561" s="94"/>
      <c r="I561" s="51"/>
      <c r="J561" s="94"/>
      <c r="K561" s="94"/>
    </row>
    <row r="562" ht="22.5" customHeight="1">
      <c r="A562" s="55">
        <v>560.0</v>
      </c>
      <c r="B562" s="55" t="s">
        <v>781</v>
      </c>
      <c r="C562" s="130"/>
      <c r="D562" s="78">
        <v>45949.0</v>
      </c>
      <c r="E562" s="61">
        <v>43200.0</v>
      </c>
      <c r="F562" s="130"/>
      <c r="G562" s="61">
        <f t="shared" si="4"/>
        <v>43200</v>
      </c>
      <c r="H562" s="94"/>
      <c r="I562" s="51"/>
      <c r="J562" s="94"/>
      <c r="K562" s="94"/>
    </row>
    <row r="563" ht="22.5" customHeight="1">
      <c r="A563" s="37">
        <v>561.0</v>
      </c>
      <c r="B563" s="55" t="s">
        <v>782</v>
      </c>
      <c r="C563" s="130"/>
      <c r="D563" s="78">
        <v>45949.0</v>
      </c>
      <c r="E563" s="61">
        <v>12000.0</v>
      </c>
      <c r="F563" s="130"/>
      <c r="G563" s="61">
        <f t="shared" si="4"/>
        <v>12000</v>
      </c>
      <c r="H563" s="94"/>
      <c r="I563" s="51"/>
      <c r="J563" s="94"/>
      <c r="K563" s="94"/>
    </row>
    <row r="564" ht="22.5" customHeight="1">
      <c r="A564" s="55">
        <v>562.0</v>
      </c>
      <c r="B564" s="55" t="s">
        <v>343</v>
      </c>
      <c r="C564" s="130"/>
      <c r="D564" s="78">
        <v>45949.0</v>
      </c>
      <c r="E564" s="61">
        <v>7000.0</v>
      </c>
      <c r="F564" s="130"/>
      <c r="G564" s="61">
        <f t="shared" si="4"/>
        <v>7000</v>
      </c>
      <c r="H564" s="94"/>
      <c r="I564" s="51"/>
      <c r="J564" s="94"/>
      <c r="K564" s="94"/>
    </row>
    <row r="565" ht="22.5" customHeight="1">
      <c r="A565" s="37">
        <v>563.0</v>
      </c>
      <c r="B565" s="55" t="s">
        <v>783</v>
      </c>
      <c r="C565" s="130"/>
      <c r="D565" s="78">
        <v>45949.0</v>
      </c>
      <c r="E565" s="61">
        <v>14095.0</v>
      </c>
      <c r="F565" s="130"/>
      <c r="G565" s="61">
        <f t="shared" si="4"/>
        <v>14095</v>
      </c>
      <c r="H565" s="94"/>
      <c r="I565" s="51"/>
      <c r="J565" s="94"/>
      <c r="K565" s="94"/>
    </row>
    <row r="566" ht="22.5" customHeight="1">
      <c r="A566" s="55">
        <v>564.0</v>
      </c>
      <c r="B566" s="55" t="s">
        <v>289</v>
      </c>
      <c r="C566" s="130"/>
      <c r="D566" s="78">
        <v>45949.0</v>
      </c>
      <c r="E566" s="61">
        <v>1642.15</v>
      </c>
      <c r="F566" s="130"/>
      <c r="G566" s="61">
        <f t="shared" si="4"/>
        <v>1642.15</v>
      </c>
      <c r="H566" s="94"/>
      <c r="I566" s="51"/>
      <c r="J566" s="94"/>
      <c r="K566" s="94"/>
    </row>
    <row r="567" ht="22.5" customHeight="1">
      <c r="A567" s="37">
        <v>565.0</v>
      </c>
      <c r="B567" s="55" t="s">
        <v>109</v>
      </c>
      <c r="C567" s="130"/>
      <c r="D567" s="78">
        <v>45950.0</v>
      </c>
      <c r="E567" s="61">
        <v>12635.0</v>
      </c>
      <c r="F567" s="130"/>
      <c r="G567" s="61">
        <f t="shared" si="4"/>
        <v>12635</v>
      </c>
      <c r="H567" s="94"/>
      <c r="I567" s="51"/>
      <c r="J567" s="94"/>
      <c r="K567" s="94"/>
    </row>
    <row r="568" ht="22.5" customHeight="1">
      <c r="A568" s="55">
        <v>566.0</v>
      </c>
      <c r="B568" s="55" t="s">
        <v>293</v>
      </c>
      <c r="C568" s="130"/>
      <c r="D568" s="78">
        <v>45951.0</v>
      </c>
      <c r="E568" s="61">
        <v>768.79</v>
      </c>
      <c r="F568" s="130"/>
      <c r="G568" s="61">
        <f t="shared" si="4"/>
        <v>768.79</v>
      </c>
      <c r="H568" s="94"/>
      <c r="I568" s="51"/>
      <c r="J568" s="94"/>
      <c r="K568" s="94"/>
    </row>
    <row r="569" ht="22.5" customHeight="1">
      <c r="A569" s="37">
        <v>567.0</v>
      </c>
      <c r="B569" s="55" t="s">
        <v>784</v>
      </c>
      <c r="C569" s="130"/>
      <c r="D569" s="78">
        <v>45951.0</v>
      </c>
      <c r="E569" s="61">
        <v>10995.74</v>
      </c>
      <c r="F569" s="130"/>
      <c r="G569" s="61">
        <f t="shared" si="4"/>
        <v>10995.74</v>
      </c>
      <c r="H569" s="94"/>
      <c r="I569" s="51"/>
      <c r="J569" s="94"/>
      <c r="K569" s="94"/>
    </row>
    <row r="570" ht="22.5" customHeight="1">
      <c r="A570" s="55">
        <v>568.0</v>
      </c>
      <c r="B570" s="55" t="s">
        <v>109</v>
      </c>
      <c r="C570" s="130"/>
      <c r="D570" s="78">
        <v>45952.0</v>
      </c>
      <c r="E570" s="61">
        <v>6908.0</v>
      </c>
      <c r="F570" s="130"/>
      <c r="G570" s="61">
        <f t="shared" si="4"/>
        <v>6908</v>
      </c>
      <c r="H570" s="94"/>
      <c r="I570" s="51"/>
      <c r="J570" s="94"/>
      <c r="K570" s="94"/>
    </row>
    <row r="571" ht="22.5" customHeight="1">
      <c r="A571" s="37">
        <v>569.0</v>
      </c>
      <c r="B571" s="55" t="s">
        <v>289</v>
      </c>
      <c r="C571" s="130"/>
      <c r="D571" s="78">
        <v>45952.0</v>
      </c>
      <c r="E571" s="61">
        <v>2052.944</v>
      </c>
      <c r="F571" s="130"/>
      <c r="G571" s="61">
        <f t="shared" si="4"/>
        <v>2052.944</v>
      </c>
      <c r="H571" s="94"/>
      <c r="I571" s="51"/>
      <c r="J571" s="94"/>
      <c r="K571" s="94"/>
    </row>
    <row r="572" ht="22.5" customHeight="1">
      <c r="A572" s="55">
        <v>570.0</v>
      </c>
      <c r="B572" s="55" t="s">
        <v>785</v>
      </c>
      <c r="C572" s="130"/>
      <c r="D572" s="78">
        <v>45954.0</v>
      </c>
      <c r="E572" s="61">
        <v>2746.21</v>
      </c>
      <c r="F572" s="130"/>
      <c r="G572" s="61">
        <f t="shared" si="4"/>
        <v>2746.21</v>
      </c>
      <c r="H572" s="94"/>
      <c r="I572" s="51"/>
      <c r="J572" s="94"/>
      <c r="K572" s="94"/>
    </row>
    <row r="573" ht="22.5" customHeight="1">
      <c r="A573" s="37">
        <v>571.0</v>
      </c>
      <c r="B573" s="55" t="s">
        <v>781</v>
      </c>
      <c r="C573" s="130"/>
      <c r="D573" s="78">
        <v>45954.0</v>
      </c>
      <c r="E573" s="61">
        <v>43200.0</v>
      </c>
      <c r="F573" s="130"/>
      <c r="G573" s="61">
        <f t="shared" si="4"/>
        <v>43200</v>
      </c>
      <c r="H573" s="94"/>
      <c r="I573" s="51"/>
      <c r="J573" s="94"/>
      <c r="K573" s="94"/>
    </row>
    <row r="574" ht="22.5" customHeight="1">
      <c r="A574" s="55">
        <v>572.0</v>
      </c>
      <c r="B574" s="55" t="s">
        <v>786</v>
      </c>
      <c r="C574" s="130"/>
      <c r="D574" s="78">
        <v>45954.0</v>
      </c>
      <c r="E574" s="61">
        <v>15000.0</v>
      </c>
      <c r="F574" s="130"/>
      <c r="G574" s="61">
        <f t="shared" si="4"/>
        <v>15000</v>
      </c>
      <c r="H574" s="94"/>
      <c r="I574" s="51"/>
      <c r="J574" s="94"/>
      <c r="K574" s="94"/>
    </row>
    <row r="575" ht="22.5" customHeight="1">
      <c r="A575" s="37">
        <v>573.0</v>
      </c>
      <c r="B575" s="55" t="s">
        <v>787</v>
      </c>
      <c r="C575" s="130"/>
      <c r="D575" s="78">
        <v>45954.0</v>
      </c>
      <c r="E575" s="61">
        <v>10876.0</v>
      </c>
      <c r="F575" s="130"/>
      <c r="G575" s="61">
        <f t="shared" si="4"/>
        <v>10876</v>
      </c>
      <c r="H575" s="94"/>
      <c r="I575" s="51"/>
      <c r="J575" s="94"/>
      <c r="K575" s="94"/>
    </row>
    <row r="576" ht="22.5" customHeight="1">
      <c r="A576" s="55">
        <v>574.0</v>
      </c>
      <c r="B576" s="55" t="s">
        <v>788</v>
      </c>
      <c r="C576" s="130"/>
      <c r="D576" s="78">
        <v>45954.0</v>
      </c>
      <c r="E576" s="61">
        <v>15000.0</v>
      </c>
      <c r="F576" s="130"/>
      <c r="G576" s="61">
        <f t="shared" si="4"/>
        <v>15000</v>
      </c>
      <c r="H576" s="94"/>
      <c r="I576" s="51"/>
      <c r="J576" s="94"/>
      <c r="K576" s="94"/>
    </row>
    <row r="577" ht="22.5" customHeight="1">
      <c r="A577" s="37">
        <v>575.0</v>
      </c>
      <c r="B577" s="55" t="s">
        <v>219</v>
      </c>
      <c r="C577" s="130"/>
      <c r="D577" s="78">
        <v>45954.0</v>
      </c>
      <c r="E577" s="61">
        <v>28500.0</v>
      </c>
      <c r="F577" s="130"/>
      <c r="G577" s="61">
        <f t="shared" si="4"/>
        <v>28500</v>
      </c>
      <c r="H577" s="94"/>
      <c r="I577" s="51"/>
      <c r="J577" s="94"/>
      <c r="K577" s="94"/>
    </row>
    <row r="578" ht="22.5" customHeight="1">
      <c r="A578" s="55">
        <v>576.0</v>
      </c>
      <c r="B578" s="55" t="s">
        <v>716</v>
      </c>
      <c r="C578" s="130"/>
      <c r="D578" s="78">
        <v>45954.0</v>
      </c>
      <c r="E578" s="61">
        <v>5000.0</v>
      </c>
      <c r="F578" s="130"/>
      <c r="G578" s="61">
        <f t="shared" si="4"/>
        <v>5000</v>
      </c>
      <c r="H578" s="94"/>
      <c r="I578" s="51"/>
      <c r="J578" s="94"/>
      <c r="K578" s="94"/>
    </row>
    <row r="579" ht="22.5" customHeight="1">
      <c r="A579" s="37">
        <v>577.0</v>
      </c>
      <c r="B579" s="55" t="s">
        <v>789</v>
      </c>
      <c r="C579" s="130"/>
      <c r="D579" s="78">
        <v>45954.0</v>
      </c>
      <c r="E579" s="61">
        <v>10000.0</v>
      </c>
      <c r="F579" s="130"/>
      <c r="G579" s="61">
        <f t="shared" si="4"/>
        <v>10000</v>
      </c>
      <c r="H579" s="94"/>
      <c r="I579" s="51"/>
      <c r="J579" s="94"/>
      <c r="K579" s="94"/>
    </row>
    <row r="580" ht="22.5" customHeight="1">
      <c r="A580" s="55">
        <v>578.0</v>
      </c>
      <c r="B580" s="55" t="s">
        <v>790</v>
      </c>
      <c r="C580" s="130"/>
      <c r="D580" s="78">
        <v>45954.0</v>
      </c>
      <c r="E580" s="61">
        <v>21500.0</v>
      </c>
      <c r="F580" s="130"/>
      <c r="G580" s="61">
        <f t="shared" si="4"/>
        <v>21500</v>
      </c>
      <c r="H580" s="94"/>
      <c r="I580" s="51"/>
      <c r="J580" s="94"/>
      <c r="K580" s="94"/>
    </row>
    <row r="581" ht="22.5" customHeight="1">
      <c r="A581" s="37">
        <v>579.0</v>
      </c>
      <c r="B581" s="55" t="s">
        <v>791</v>
      </c>
      <c r="C581" s="130"/>
      <c r="D581" s="78">
        <v>45954.0</v>
      </c>
      <c r="E581" s="61">
        <v>20855.0</v>
      </c>
      <c r="F581" s="130"/>
      <c r="G581" s="61">
        <f t="shared" si="4"/>
        <v>20855</v>
      </c>
      <c r="H581" s="94"/>
      <c r="I581" s="51"/>
      <c r="J581" s="94"/>
      <c r="K581" s="94"/>
    </row>
    <row r="582" ht="22.5" customHeight="1">
      <c r="A582" s="55">
        <v>580.0</v>
      </c>
      <c r="B582" s="55" t="s">
        <v>518</v>
      </c>
      <c r="C582" s="130"/>
      <c r="D582" s="78">
        <v>45954.0</v>
      </c>
      <c r="E582" s="61">
        <v>30292.0</v>
      </c>
      <c r="F582" s="130"/>
      <c r="G582" s="61">
        <f t="shared" si="4"/>
        <v>30292</v>
      </c>
      <c r="H582" s="94"/>
      <c r="I582" s="51"/>
      <c r="J582" s="94"/>
      <c r="K582" s="94"/>
    </row>
    <row r="583" ht="22.5" customHeight="1">
      <c r="A583" s="37">
        <v>581.0</v>
      </c>
      <c r="B583" s="55" t="s">
        <v>792</v>
      </c>
      <c r="C583" s="130"/>
      <c r="D583" s="78">
        <v>45954.0</v>
      </c>
      <c r="E583" s="61">
        <v>15500.0</v>
      </c>
      <c r="F583" s="130"/>
      <c r="G583" s="61">
        <f t="shared" si="4"/>
        <v>15500</v>
      </c>
      <c r="H583" s="94"/>
      <c r="I583" s="51"/>
      <c r="J583" s="94"/>
      <c r="K583" s="94"/>
    </row>
    <row r="584" ht="22.5" customHeight="1">
      <c r="A584" s="55">
        <v>582.0</v>
      </c>
      <c r="B584" s="55" t="s">
        <v>793</v>
      </c>
      <c r="C584" s="130"/>
      <c r="D584" s="78">
        <v>45954.0</v>
      </c>
      <c r="E584" s="61">
        <v>2000.0</v>
      </c>
      <c r="F584" s="130"/>
      <c r="G584" s="61">
        <f t="shared" si="4"/>
        <v>2000</v>
      </c>
      <c r="H584" s="94"/>
      <c r="I584" s="51"/>
      <c r="J584" s="94"/>
      <c r="K584" s="94"/>
    </row>
    <row r="585" ht="22.5" customHeight="1">
      <c r="A585" s="37">
        <v>583.0</v>
      </c>
      <c r="B585" s="55" t="s">
        <v>794</v>
      </c>
      <c r="C585" s="130"/>
      <c r="D585" s="78">
        <v>45954.0</v>
      </c>
      <c r="E585" s="61">
        <v>5500.0</v>
      </c>
      <c r="F585" s="130"/>
      <c r="G585" s="61">
        <f t="shared" si="4"/>
        <v>5500</v>
      </c>
      <c r="H585" s="94"/>
      <c r="I585" s="51"/>
      <c r="J585" s="94"/>
      <c r="K585" s="94"/>
    </row>
    <row r="586" ht="22.5" customHeight="1">
      <c r="A586" s="55">
        <v>584.0</v>
      </c>
      <c r="B586" s="55" t="s">
        <v>88</v>
      </c>
      <c r="C586" s="130"/>
      <c r="D586" s="78">
        <v>45954.0</v>
      </c>
      <c r="E586" s="61">
        <v>51000.0</v>
      </c>
      <c r="F586" s="130"/>
      <c r="G586" s="61">
        <f t="shared" si="4"/>
        <v>51000</v>
      </c>
      <c r="H586" s="94"/>
      <c r="I586" s="51"/>
      <c r="J586" s="94"/>
      <c r="K586" s="94"/>
    </row>
    <row r="587" ht="22.5" customHeight="1">
      <c r="A587" s="37">
        <v>585.0</v>
      </c>
      <c r="B587" s="55" t="s">
        <v>795</v>
      </c>
      <c r="C587" s="130"/>
      <c r="D587" s="78">
        <v>45954.0</v>
      </c>
      <c r="E587" s="61">
        <v>8500.0</v>
      </c>
      <c r="F587" s="130"/>
      <c r="G587" s="61">
        <f t="shared" si="4"/>
        <v>8500</v>
      </c>
      <c r="H587" s="94"/>
      <c r="I587" s="51"/>
      <c r="J587" s="94"/>
      <c r="K587" s="94"/>
    </row>
    <row r="588" ht="22.5" customHeight="1">
      <c r="A588" s="55">
        <v>586.0</v>
      </c>
      <c r="B588" s="55" t="s">
        <v>796</v>
      </c>
      <c r="C588" s="130"/>
      <c r="D588" s="78">
        <v>45954.0</v>
      </c>
      <c r="E588" s="61">
        <v>11000.0</v>
      </c>
      <c r="F588" s="130"/>
      <c r="G588" s="61">
        <f t="shared" si="4"/>
        <v>11000</v>
      </c>
      <c r="H588" s="94"/>
      <c r="I588" s="51"/>
      <c r="J588" s="94"/>
      <c r="K588" s="94"/>
    </row>
    <row r="589" ht="22.5" customHeight="1">
      <c r="A589" s="37">
        <v>587.0</v>
      </c>
      <c r="B589" s="55" t="s">
        <v>41</v>
      </c>
      <c r="C589" s="130"/>
      <c r="D589" s="78">
        <v>45954.0</v>
      </c>
      <c r="E589" s="61">
        <v>17901.0</v>
      </c>
      <c r="F589" s="130"/>
      <c r="G589" s="61">
        <f t="shared" si="4"/>
        <v>17901</v>
      </c>
      <c r="H589" s="94"/>
      <c r="I589" s="51"/>
      <c r="J589" s="94"/>
      <c r="K589" s="94"/>
    </row>
    <row r="590" ht="22.5" customHeight="1">
      <c r="A590" s="55">
        <v>588.0</v>
      </c>
      <c r="B590" s="55" t="s">
        <v>142</v>
      </c>
      <c r="C590" s="130"/>
      <c r="D590" s="78">
        <v>45954.0</v>
      </c>
      <c r="E590" s="61">
        <v>59400.0</v>
      </c>
      <c r="F590" s="130"/>
      <c r="G590" s="61">
        <f t="shared" si="4"/>
        <v>59400</v>
      </c>
      <c r="H590" s="94"/>
      <c r="I590" s="51"/>
      <c r="J590" s="94"/>
      <c r="K590" s="94"/>
    </row>
    <row r="591" ht="22.5" customHeight="1">
      <c r="A591" s="37">
        <v>589.0</v>
      </c>
      <c r="B591" s="55" t="s">
        <v>756</v>
      </c>
      <c r="C591" s="130"/>
      <c r="D591" s="78">
        <v>45954.0</v>
      </c>
      <c r="E591" s="61">
        <v>20000.0</v>
      </c>
      <c r="F591" s="130"/>
      <c r="G591" s="61">
        <f t="shared" si="4"/>
        <v>20000</v>
      </c>
      <c r="H591" s="94"/>
      <c r="I591" s="51"/>
      <c r="J591" s="94"/>
      <c r="K591" s="94"/>
    </row>
    <row r="592" ht="22.5" customHeight="1">
      <c r="A592" s="55">
        <v>590.0</v>
      </c>
      <c r="B592" s="55" t="s">
        <v>769</v>
      </c>
      <c r="C592" s="130"/>
      <c r="D592" s="78">
        <v>45954.0</v>
      </c>
      <c r="E592" s="61">
        <v>25000.0</v>
      </c>
      <c r="F592" s="130"/>
      <c r="G592" s="61">
        <f t="shared" si="4"/>
        <v>25000</v>
      </c>
      <c r="H592" s="94"/>
      <c r="I592" s="51"/>
      <c r="J592" s="94"/>
      <c r="K592" s="94"/>
    </row>
    <row r="593" ht="22.5" customHeight="1">
      <c r="A593" s="37">
        <v>591.0</v>
      </c>
      <c r="B593" s="55" t="s">
        <v>769</v>
      </c>
      <c r="C593" s="130"/>
      <c r="D593" s="78">
        <v>45955.0</v>
      </c>
      <c r="E593" s="61">
        <v>25000.0</v>
      </c>
      <c r="F593" s="130"/>
      <c r="G593" s="61">
        <f t="shared" si="4"/>
        <v>25000</v>
      </c>
      <c r="H593" s="94"/>
      <c r="I593" s="51"/>
      <c r="J593" s="94"/>
      <c r="K593" s="94"/>
    </row>
    <row r="594" ht="22.5" customHeight="1">
      <c r="A594" s="55">
        <v>592.0</v>
      </c>
      <c r="B594" s="55" t="s">
        <v>764</v>
      </c>
      <c r="C594" s="130"/>
      <c r="D594" s="78">
        <v>45955.0</v>
      </c>
      <c r="E594" s="61">
        <v>37000.0</v>
      </c>
      <c r="F594" s="130"/>
      <c r="G594" s="61">
        <f t="shared" si="4"/>
        <v>37000</v>
      </c>
      <c r="H594" s="94"/>
      <c r="I594" s="51"/>
      <c r="J594" s="94"/>
      <c r="K594" s="94"/>
    </row>
    <row r="595" ht="22.5" customHeight="1">
      <c r="A595" s="37">
        <v>593.0</v>
      </c>
      <c r="B595" s="55" t="s">
        <v>797</v>
      </c>
      <c r="C595" s="130"/>
      <c r="D595" s="78">
        <v>45955.0</v>
      </c>
      <c r="E595" s="61">
        <v>10000.0</v>
      </c>
      <c r="F595" s="130"/>
      <c r="G595" s="61">
        <f t="shared" si="4"/>
        <v>10000</v>
      </c>
      <c r="H595" s="94"/>
      <c r="I595" s="51"/>
      <c r="J595" s="94"/>
      <c r="K595" s="94"/>
    </row>
    <row r="596" ht="22.5" customHeight="1">
      <c r="A596" s="55">
        <v>594.0</v>
      </c>
      <c r="B596" s="55" t="s">
        <v>764</v>
      </c>
      <c r="C596" s="130"/>
      <c r="D596" s="78">
        <v>45955.0</v>
      </c>
      <c r="E596" s="61">
        <v>9020.0</v>
      </c>
      <c r="F596" s="130"/>
      <c r="G596" s="61">
        <f t="shared" si="4"/>
        <v>9020</v>
      </c>
      <c r="H596" s="94"/>
      <c r="I596" s="51"/>
      <c r="J596" s="94"/>
      <c r="K596" s="94"/>
    </row>
    <row r="597" ht="22.5" customHeight="1">
      <c r="A597" s="37">
        <v>595.0</v>
      </c>
      <c r="B597" s="55" t="s">
        <v>798</v>
      </c>
      <c r="C597" s="130"/>
      <c r="D597" s="78">
        <v>45955.0</v>
      </c>
      <c r="E597" s="61">
        <v>15200.0</v>
      </c>
      <c r="F597" s="130"/>
      <c r="G597" s="61">
        <f t="shared" si="4"/>
        <v>15200</v>
      </c>
      <c r="H597" s="94"/>
      <c r="I597" s="51"/>
      <c r="J597" s="94"/>
      <c r="K597" s="94"/>
    </row>
    <row r="598" ht="22.5" customHeight="1">
      <c r="A598" s="55">
        <v>596.0</v>
      </c>
      <c r="B598" s="55" t="s">
        <v>799</v>
      </c>
      <c r="C598" s="130"/>
      <c r="D598" s="78">
        <v>45955.0</v>
      </c>
      <c r="E598" s="61">
        <v>12943.0</v>
      </c>
      <c r="F598" s="130"/>
      <c r="G598" s="61">
        <f t="shared" si="4"/>
        <v>12943</v>
      </c>
      <c r="H598" s="94"/>
      <c r="I598" s="51"/>
      <c r="J598" s="94"/>
      <c r="K598" s="94"/>
    </row>
    <row r="599" ht="22.5" customHeight="1">
      <c r="A599" s="37">
        <v>597.0</v>
      </c>
      <c r="B599" s="55" t="s">
        <v>289</v>
      </c>
      <c r="C599" s="130"/>
      <c r="D599" s="78">
        <v>45956.0</v>
      </c>
      <c r="E599" s="61">
        <v>1516.68</v>
      </c>
      <c r="F599" s="130"/>
      <c r="G599" s="61">
        <f t="shared" si="4"/>
        <v>1516.68</v>
      </c>
      <c r="H599" s="94"/>
      <c r="I599" s="51"/>
      <c r="J599" s="94"/>
      <c r="K599" s="94"/>
    </row>
    <row r="600" ht="22.5" customHeight="1">
      <c r="A600" s="55">
        <v>598.0</v>
      </c>
      <c r="B600" s="55" t="s">
        <v>799</v>
      </c>
      <c r="C600" s="130"/>
      <c r="D600" s="78">
        <v>45957.0</v>
      </c>
      <c r="E600" s="61">
        <v>12943.0</v>
      </c>
      <c r="F600" s="130"/>
      <c r="G600" s="61">
        <f t="shared" si="4"/>
        <v>12943</v>
      </c>
      <c r="H600" s="94"/>
      <c r="I600" s="51"/>
      <c r="J600" s="94"/>
      <c r="K600" s="94"/>
    </row>
    <row r="601" ht="22.5" customHeight="1">
      <c r="A601" s="37">
        <v>599.0</v>
      </c>
      <c r="B601" s="55" t="s">
        <v>798</v>
      </c>
      <c r="C601" s="130"/>
      <c r="D601" s="78">
        <v>45957.0</v>
      </c>
      <c r="E601" s="61">
        <v>8500.0</v>
      </c>
      <c r="F601" s="130"/>
      <c r="G601" s="61">
        <f t="shared" si="4"/>
        <v>8500</v>
      </c>
      <c r="H601" s="94"/>
      <c r="I601" s="51"/>
      <c r="J601" s="94"/>
      <c r="K601" s="94"/>
    </row>
    <row r="602" ht="22.5" customHeight="1">
      <c r="A602" s="55">
        <v>600.0</v>
      </c>
      <c r="B602" s="55" t="s">
        <v>800</v>
      </c>
      <c r="C602" s="130"/>
      <c r="D602" s="78">
        <v>45957.0</v>
      </c>
      <c r="E602" s="61">
        <v>2000.0</v>
      </c>
      <c r="F602" s="130"/>
      <c r="G602" s="61">
        <f t="shared" si="4"/>
        <v>2000</v>
      </c>
      <c r="H602" s="94"/>
      <c r="I602" s="51"/>
      <c r="J602" s="94"/>
      <c r="K602" s="94"/>
    </row>
    <row r="603" ht="22.5" customHeight="1">
      <c r="A603" s="37">
        <v>601.0</v>
      </c>
      <c r="B603" s="55" t="s">
        <v>801</v>
      </c>
      <c r="C603" s="130"/>
      <c r="D603" s="78">
        <v>45957.0</v>
      </c>
      <c r="E603" s="61">
        <v>4781.0</v>
      </c>
      <c r="F603" s="130"/>
      <c r="G603" s="61">
        <f t="shared" si="4"/>
        <v>4781</v>
      </c>
      <c r="H603" s="94"/>
      <c r="I603" s="51"/>
      <c r="J603" s="94"/>
      <c r="K603" s="94"/>
    </row>
    <row r="604" ht="22.5" customHeight="1">
      <c r="A604" s="55">
        <v>602.0</v>
      </c>
      <c r="B604" s="55" t="s">
        <v>802</v>
      </c>
      <c r="C604" s="130"/>
      <c r="D604" s="78">
        <v>45957.0</v>
      </c>
      <c r="E604" s="61">
        <v>360.0</v>
      </c>
      <c r="F604" s="130"/>
      <c r="G604" s="61">
        <f t="shared" si="4"/>
        <v>360</v>
      </c>
      <c r="H604" s="94"/>
      <c r="I604" s="51"/>
      <c r="J604" s="94"/>
      <c r="K604" s="94"/>
    </row>
    <row r="605" ht="22.5" customHeight="1">
      <c r="A605" s="37">
        <v>603.0</v>
      </c>
      <c r="B605" s="55" t="s">
        <v>705</v>
      </c>
      <c r="C605" s="130"/>
      <c r="D605" s="78">
        <v>45957.0</v>
      </c>
      <c r="E605" s="61">
        <v>3621.0</v>
      </c>
      <c r="F605" s="130"/>
      <c r="G605" s="61">
        <f t="shared" si="4"/>
        <v>3621</v>
      </c>
      <c r="H605" s="94"/>
      <c r="I605" s="51"/>
      <c r="J605" s="94"/>
      <c r="K605" s="94"/>
    </row>
    <row r="606" ht="22.5" customHeight="1">
      <c r="A606" s="55">
        <v>604.0</v>
      </c>
      <c r="B606" s="55" t="s">
        <v>803</v>
      </c>
      <c r="C606" s="130"/>
      <c r="D606" s="78">
        <v>45957.0</v>
      </c>
      <c r="E606" s="61">
        <v>473.0</v>
      </c>
      <c r="F606" s="130"/>
      <c r="G606" s="61">
        <f t="shared" si="4"/>
        <v>473</v>
      </c>
      <c r="H606" s="94"/>
      <c r="I606" s="51"/>
      <c r="J606" s="94"/>
      <c r="K606" s="94"/>
    </row>
    <row r="607" ht="22.5" customHeight="1">
      <c r="A607" s="37">
        <v>605.0</v>
      </c>
      <c r="B607" s="55" t="s">
        <v>804</v>
      </c>
      <c r="C607" s="130"/>
      <c r="D607" s="78">
        <v>45957.0</v>
      </c>
      <c r="E607" s="61">
        <v>1957.0</v>
      </c>
      <c r="F607" s="130"/>
      <c r="G607" s="61">
        <f t="shared" si="4"/>
        <v>1957</v>
      </c>
      <c r="H607" s="94"/>
      <c r="I607" s="51"/>
      <c r="J607" s="94"/>
      <c r="K607" s="94"/>
    </row>
    <row r="608" ht="22.5" customHeight="1">
      <c r="A608" s="55">
        <v>606.0</v>
      </c>
      <c r="B608" s="55" t="s">
        <v>762</v>
      </c>
      <c r="C608" s="130"/>
      <c r="D608" s="78">
        <v>45957.0</v>
      </c>
      <c r="E608" s="61">
        <v>1631.0</v>
      </c>
      <c r="F608" s="130"/>
      <c r="G608" s="61">
        <f t="shared" si="4"/>
        <v>1631</v>
      </c>
      <c r="H608" s="94"/>
      <c r="I608" s="51"/>
      <c r="J608" s="94"/>
      <c r="K608" s="94"/>
    </row>
    <row r="609" ht="22.5" customHeight="1">
      <c r="A609" s="37">
        <v>607.0</v>
      </c>
      <c r="B609" s="55" t="s">
        <v>776</v>
      </c>
      <c r="C609" s="130"/>
      <c r="D609" s="78">
        <v>45960.0</v>
      </c>
      <c r="E609" s="61">
        <v>174000.0</v>
      </c>
      <c r="F609" s="130"/>
      <c r="G609" s="61">
        <f t="shared" si="4"/>
        <v>174000</v>
      </c>
      <c r="H609" s="94"/>
      <c r="I609" s="51"/>
      <c r="J609" s="94"/>
      <c r="K609" s="94"/>
    </row>
    <row r="610" ht="22.5" customHeight="1">
      <c r="A610" s="55">
        <v>608.0</v>
      </c>
      <c r="B610" s="55" t="s">
        <v>767</v>
      </c>
      <c r="C610" s="130"/>
      <c r="D610" s="78">
        <v>45960.0</v>
      </c>
      <c r="E610" s="61">
        <v>20000.0</v>
      </c>
      <c r="F610" s="130"/>
      <c r="G610" s="61">
        <f t="shared" si="4"/>
        <v>20000</v>
      </c>
      <c r="H610" s="94"/>
      <c r="I610" s="51"/>
      <c r="J610" s="94"/>
      <c r="K610" s="94"/>
    </row>
    <row r="611" ht="22.5" customHeight="1">
      <c r="A611" s="37">
        <v>609.0</v>
      </c>
      <c r="B611" s="55" t="s">
        <v>778</v>
      </c>
      <c r="C611" s="130"/>
      <c r="D611" s="78">
        <v>45960.0</v>
      </c>
      <c r="E611" s="61">
        <v>25000.0</v>
      </c>
      <c r="F611" s="130"/>
      <c r="G611" s="61">
        <f t="shared" si="4"/>
        <v>25000</v>
      </c>
      <c r="H611" s="94"/>
      <c r="I611" s="51"/>
      <c r="J611" s="94"/>
      <c r="K611" s="94"/>
    </row>
    <row r="612" ht="22.5" customHeight="1">
      <c r="A612" s="55">
        <v>610.0</v>
      </c>
      <c r="B612" s="55" t="s">
        <v>700</v>
      </c>
      <c r="C612" s="130"/>
      <c r="D612" s="78">
        <v>45960.0</v>
      </c>
      <c r="E612" s="61">
        <v>33023.0</v>
      </c>
      <c r="F612" s="130"/>
      <c r="G612" s="61">
        <f t="shared" si="4"/>
        <v>33023</v>
      </c>
      <c r="H612" s="94"/>
      <c r="I612" s="51"/>
      <c r="J612" s="94"/>
      <c r="K612" s="94"/>
    </row>
    <row r="613" ht="22.5" customHeight="1">
      <c r="A613" s="37">
        <v>611.0</v>
      </c>
      <c r="B613" s="55" t="s">
        <v>805</v>
      </c>
      <c r="C613" s="130"/>
      <c r="D613" s="78">
        <v>45960.0</v>
      </c>
      <c r="E613" s="61">
        <v>2000.0</v>
      </c>
      <c r="F613" s="130"/>
      <c r="G613" s="61">
        <f t="shared" si="4"/>
        <v>2000</v>
      </c>
      <c r="H613" s="94"/>
      <c r="I613" s="51"/>
      <c r="J613" s="94"/>
      <c r="K613" s="94"/>
    </row>
    <row r="614" ht="22.5" customHeight="1">
      <c r="A614" s="55">
        <v>612.0</v>
      </c>
      <c r="B614" s="55" t="s">
        <v>806</v>
      </c>
      <c r="C614" s="130"/>
      <c r="D614" s="78">
        <v>45960.0</v>
      </c>
      <c r="E614" s="61">
        <v>25750.0</v>
      </c>
      <c r="F614" s="130"/>
      <c r="G614" s="61">
        <f t="shared" si="4"/>
        <v>25750</v>
      </c>
      <c r="H614" s="94"/>
      <c r="I614" s="51"/>
      <c r="J614" s="94"/>
      <c r="K614" s="94"/>
    </row>
    <row r="615" ht="22.5" customHeight="1">
      <c r="A615" s="37">
        <v>613.0</v>
      </c>
      <c r="B615" s="55" t="s">
        <v>686</v>
      </c>
      <c r="C615" s="130"/>
      <c r="D615" s="78">
        <v>45960.0</v>
      </c>
      <c r="E615" s="61">
        <v>329000.0</v>
      </c>
      <c r="F615" s="130"/>
      <c r="G615" s="61">
        <f t="shared" si="4"/>
        <v>329000</v>
      </c>
      <c r="H615" s="94"/>
      <c r="I615" s="51"/>
      <c r="J615" s="94"/>
      <c r="K615" s="94"/>
    </row>
    <row r="616" ht="22.5" customHeight="1">
      <c r="A616" s="55">
        <v>614.0</v>
      </c>
      <c r="B616" s="55" t="s">
        <v>807</v>
      </c>
      <c r="C616" s="130"/>
      <c r="D616" s="78">
        <v>45960.0</v>
      </c>
      <c r="E616" s="61">
        <v>39200.0</v>
      </c>
      <c r="F616" s="130"/>
      <c r="G616" s="61">
        <f t="shared" si="4"/>
        <v>39200</v>
      </c>
      <c r="H616" s="94"/>
      <c r="I616" s="51"/>
      <c r="J616" s="94"/>
      <c r="K616" s="94"/>
    </row>
    <row r="617" ht="22.5" customHeight="1">
      <c r="A617" s="37">
        <v>615.0</v>
      </c>
      <c r="B617" s="55" t="s">
        <v>770</v>
      </c>
      <c r="C617" s="130"/>
      <c r="D617" s="78">
        <v>45960.0</v>
      </c>
      <c r="E617" s="61">
        <v>67000.0</v>
      </c>
      <c r="F617" s="130"/>
      <c r="G617" s="61">
        <f t="shared" si="4"/>
        <v>67000</v>
      </c>
      <c r="H617" s="94"/>
      <c r="I617" s="51"/>
      <c r="J617" s="94"/>
      <c r="K617" s="94"/>
    </row>
    <row r="618" ht="22.5" customHeight="1">
      <c r="A618" s="55">
        <v>616.0</v>
      </c>
      <c r="B618" s="174" t="s">
        <v>53</v>
      </c>
      <c r="C618" s="130"/>
      <c r="D618" s="78">
        <v>45961.0</v>
      </c>
      <c r="E618" s="61">
        <v>385901.0</v>
      </c>
      <c r="F618" s="130"/>
      <c r="G618" s="61">
        <f t="shared" si="4"/>
        <v>385901</v>
      </c>
      <c r="H618" s="61"/>
      <c r="I618" s="94"/>
      <c r="J618" s="94"/>
      <c r="K618" s="94"/>
    </row>
    <row r="619" ht="22.5" customHeight="1">
      <c r="A619" s="37">
        <v>617.0</v>
      </c>
      <c r="B619" s="55" t="s">
        <v>769</v>
      </c>
      <c r="C619" s="130"/>
      <c r="D619" s="78">
        <v>45961.0</v>
      </c>
      <c r="E619" s="61">
        <v>81640.0</v>
      </c>
      <c r="F619" s="130"/>
      <c r="G619" s="61">
        <f t="shared" si="4"/>
        <v>81640</v>
      </c>
      <c r="H619" s="94"/>
      <c r="I619" s="51"/>
      <c r="J619" s="94"/>
      <c r="K619" s="94"/>
    </row>
    <row r="620" ht="22.5" customHeight="1">
      <c r="A620" s="55">
        <v>618.0</v>
      </c>
      <c r="B620" s="55" t="s">
        <v>808</v>
      </c>
      <c r="C620" s="130"/>
      <c r="D620" s="78">
        <v>45961.0</v>
      </c>
      <c r="E620" s="61">
        <v>24000.0</v>
      </c>
      <c r="F620" s="130"/>
      <c r="G620" s="61">
        <f t="shared" si="4"/>
        <v>24000</v>
      </c>
      <c r="H620" s="94"/>
      <c r="I620" s="51"/>
      <c r="J620" s="94"/>
      <c r="K620" s="94"/>
    </row>
    <row r="621" ht="22.5" customHeight="1">
      <c r="A621" s="37">
        <v>619.0</v>
      </c>
      <c r="B621" s="55" t="s">
        <v>762</v>
      </c>
      <c r="C621" s="130"/>
      <c r="D621" s="78">
        <v>45961.0</v>
      </c>
      <c r="E621" s="61">
        <v>16264.0</v>
      </c>
      <c r="F621" s="130"/>
      <c r="G621" s="61">
        <f t="shared" si="4"/>
        <v>16264</v>
      </c>
      <c r="H621" s="94"/>
      <c r="I621" s="51"/>
      <c r="J621" s="94"/>
      <c r="K621" s="94"/>
    </row>
    <row r="622" ht="22.5" customHeight="1">
      <c r="A622" s="55">
        <v>620.0</v>
      </c>
      <c r="B622" s="55" t="s">
        <v>809</v>
      </c>
      <c r="C622" s="130"/>
      <c r="D622" s="78">
        <v>45961.0</v>
      </c>
      <c r="E622" s="61">
        <v>722.0</v>
      </c>
      <c r="F622" s="130"/>
      <c r="G622" s="61">
        <f t="shared" si="4"/>
        <v>722</v>
      </c>
      <c r="H622" s="94"/>
      <c r="I622" s="51"/>
      <c r="J622" s="94"/>
      <c r="K622" s="94"/>
    </row>
    <row r="623" ht="22.5" customHeight="1">
      <c r="A623" s="37">
        <v>621.0</v>
      </c>
      <c r="B623" s="55" t="s">
        <v>810</v>
      </c>
      <c r="C623" s="130"/>
      <c r="D623" s="78">
        <v>45961.0</v>
      </c>
      <c r="E623" s="61">
        <v>2740.0</v>
      </c>
      <c r="F623" s="130"/>
      <c r="G623" s="61">
        <f t="shared" si="4"/>
        <v>2740</v>
      </c>
      <c r="H623" s="94"/>
      <c r="I623" s="51"/>
      <c r="J623" s="94"/>
      <c r="K623" s="94"/>
    </row>
    <row r="624" ht="22.5" customHeight="1">
      <c r="A624" s="55">
        <v>622.0</v>
      </c>
      <c r="B624" s="55" t="s">
        <v>765</v>
      </c>
      <c r="C624" s="130"/>
      <c r="D624" s="78">
        <v>45961.0</v>
      </c>
      <c r="E624" s="61">
        <v>321.0</v>
      </c>
      <c r="F624" s="130"/>
      <c r="G624" s="61">
        <f t="shared" si="4"/>
        <v>321</v>
      </c>
      <c r="H624" s="94"/>
      <c r="I624" s="51"/>
      <c r="J624" s="94"/>
      <c r="K624" s="94"/>
    </row>
    <row r="625" ht="22.5" customHeight="1">
      <c r="A625" s="37">
        <v>623.0</v>
      </c>
      <c r="B625" s="55" t="s">
        <v>804</v>
      </c>
      <c r="C625" s="130"/>
      <c r="D625" s="78">
        <v>45961.0</v>
      </c>
      <c r="E625" s="61">
        <v>7060.0</v>
      </c>
      <c r="F625" s="130"/>
      <c r="G625" s="61">
        <f t="shared" si="4"/>
        <v>7060</v>
      </c>
      <c r="H625" s="94"/>
      <c r="I625" s="51"/>
      <c r="J625" s="94"/>
      <c r="K625" s="94"/>
    </row>
    <row r="626" ht="22.5" customHeight="1">
      <c r="A626" s="55">
        <v>624.0</v>
      </c>
      <c r="B626" s="55" t="s">
        <v>142</v>
      </c>
      <c r="C626" s="130"/>
      <c r="D626" s="78">
        <v>45962.0</v>
      </c>
      <c r="E626" s="61">
        <v>99000.0</v>
      </c>
      <c r="F626" s="130"/>
      <c r="G626" s="61">
        <f t="shared" si="4"/>
        <v>99000</v>
      </c>
      <c r="H626" s="94"/>
      <c r="I626" s="51"/>
      <c r="J626" s="94"/>
      <c r="K626" s="94"/>
    </row>
    <row r="627" ht="22.5" customHeight="1">
      <c r="A627" s="37">
        <v>625.0</v>
      </c>
      <c r="B627" s="55" t="s">
        <v>109</v>
      </c>
      <c r="C627" s="130"/>
      <c r="D627" s="78">
        <v>45964.0</v>
      </c>
      <c r="E627" s="61">
        <v>50000.0</v>
      </c>
      <c r="F627" s="130"/>
      <c r="G627" s="61">
        <f t="shared" si="4"/>
        <v>50000</v>
      </c>
      <c r="H627" s="94"/>
      <c r="I627" s="51"/>
      <c r="J627" s="94"/>
      <c r="K627" s="94"/>
    </row>
    <row r="628" ht="22.5" customHeight="1">
      <c r="A628" s="55">
        <v>626.0</v>
      </c>
      <c r="B628" s="55" t="s">
        <v>293</v>
      </c>
      <c r="C628" s="130"/>
      <c r="D628" s="78">
        <v>45965.0</v>
      </c>
      <c r="E628" s="61">
        <v>4592.78</v>
      </c>
      <c r="F628" s="130"/>
      <c r="G628" s="61">
        <f t="shared" si="4"/>
        <v>4592.78</v>
      </c>
      <c r="H628" s="94"/>
      <c r="I628" s="51"/>
      <c r="J628" s="94"/>
      <c r="K628" s="94"/>
    </row>
    <row r="629" ht="22.5" customHeight="1">
      <c r="A629" s="37">
        <v>627.0</v>
      </c>
      <c r="B629" s="55" t="s">
        <v>109</v>
      </c>
      <c r="C629" s="130"/>
      <c r="D629" s="78">
        <v>45965.0</v>
      </c>
      <c r="E629" s="61">
        <v>30000.0</v>
      </c>
      <c r="F629" s="130"/>
      <c r="G629" s="61">
        <f t="shared" si="4"/>
        <v>30000</v>
      </c>
      <c r="H629" s="94"/>
      <c r="I629" s="51"/>
      <c r="J629" s="94"/>
      <c r="K629" s="94"/>
    </row>
    <row r="630" ht="22.5" customHeight="1">
      <c r="A630" s="55">
        <v>628.0</v>
      </c>
      <c r="B630" s="55" t="s">
        <v>109</v>
      </c>
      <c r="C630" s="130"/>
      <c r="D630" s="78">
        <v>45965.0</v>
      </c>
      <c r="E630" s="61">
        <v>14356.0</v>
      </c>
      <c r="F630" s="130"/>
      <c r="G630" s="61">
        <f t="shared" si="4"/>
        <v>14356</v>
      </c>
      <c r="H630" s="94"/>
      <c r="I630" s="51"/>
      <c r="J630" s="94"/>
      <c r="K630" s="94"/>
    </row>
    <row r="631" ht="22.5" customHeight="1">
      <c r="A631" s="37">
        <v>629.0</v>
      </c>
      <c r="B631" s="55" t="s">
        <v>811</v>
      </c>
      <c r="C631" s="130"/>
      <c r="D631" s="78">
        <v>45965.0</v>
      </c>
      <c r="E631" s="61">
        <v>50000.0</v>
      </c>
      <c r="F631" s="130"/>
      <c r="G631" s="61">
        <f t="shared" si="4"/>
        <v>50000</v>
      </c>
      <c r="H631" s="94"/>
      <c r="I631" s="94"/>
      <c r="J631" s="94"/>
      <c r="K631" s="94"/>
    </row>
    <row r="632" ht="22.5" customHeight="1">
      <c r="A632" s="55">
        <v>630.0</v>
      </c>
      <c r="B632" s="55" t="s">
        <v>541</v>
      </c>
      <c r="C632" s="130"/>
      <c r="D632" s="78">
        <v>45965.0</v>
      </c>
      <c r="E632" s="61">
        <v>1497.0</v>
      </c>
      <c r="F632" s="130"/>
      <c r="G632" s="61">
        <f t="shared" si="4"/>
        <v>1497</v>
      </c>
      <c r="H632" s="94"/>
      <c r="I632" s="94"/>
      <c r="J632" s="94"/>
      <c r="K632" s="94"/>
    </row>
    <row r="633" ht="22.5" customHeight="1">
      <c r="A633" s="37">
        <v>631.0</v>
      </c>
      <c r="B633" s="55" t="s">
        <v>362</v>
      </c>
      <c r="C633" s="130"/>
      <c r="D633" s="78">
        <v>45965.0</v>
      </c>
      <c r="E633" s="61">
        <v>168200.0</v>
      </c>
      <c r="F633" s="130"/>
      <c r="G633" s="61">
        <f t="shared" si="4"/>
        <v>168200</v>
      </c>
      <c r="H633" s="94"/>
      <c r="I633" s="94"/>
      <c r="J633" s="94"/>
      <c r="K633" s="94"/>
    </row>
    <row r="634" ht="22.5" customHeight="1">
      <c r="A634" s="55">
        <v>632.0</v>
      </c>
      <c r="B634" s="55" t="s">
        <v>362</v>
      </c>
      <c r="C634" s="130"/>
      <c r="D634" s="78">
        <v>45965.0</v>
      </c>
      <c r="E634" s="61">
        <v>17400.0</v>
      </c>
      <c r="F634" s="130"/>
      <c r="G634" s="61">
        <f t="shared" si="4"/>
        <v>17400</v>
      </c>
      <c r="H634" s="94"/>
      <c r="I634" s="94"/>
      <c r="J634" s="94"/>
      <c r="K634" s="94"/>
    </row>
    <row r="635" ht="22.5" customHeight="1">
      <c r="A635" s="37">
        <v>633.0</v>
      </c>
      <c r="B635" s="55" t="s">
        <v>88</v>
      </c>
      <c r="C635" s="130"/>
      <c r="D635" s="78">
        <v>45965.0</v>
      </c>
      <c r="E635" s="61">
        <v>36780.0</v>
      </c>
      <c r="F635" s="130"/>
      <c r="G635" s="61">
        <f t="shared" si="4"/>
        <v>36780</v>
      </c>
      <c r="H635" s="94"/>
      <c r="I635" s="94"/>
      <c r="J635" s="94"/>
      <c r="K635" s="94"/>
    </row>
    <row r="636" ht="22.5" customHeight="1">
      <c r="A636" s="55">
        <v>634.0</v>
      </c>
      <c r="B636" s="55" t="s">
        <v>88</v>
      </c>
      <c r="C636" s="130"/>
      <c r="D636" s="78">
        <v>45965.0</v>
      </c>
      <c r="E636" s="61">
        <v>3900.0</v>
      </c>
      <c r="F636" s="130"/>
      <c r="G636" s="61">
        <f t="shared" si="4"/>
        <v>3900</v>
      </c>
      <c r="H636" s="94"/>
      <c r="I636" s="94"/>
      <c r="J636" s="94"/>
      <c r="K636" s="94"/>
    </row>
    <row r="637" ht="22.5" customHeight="1">
      <c r="A637" s="37">
        <v>635.0</v>
      </c>
      <c r="B637" s="55" t="s">
        <v>88</v>
      </c>
      <c r="C637" s="130"/>
      <c r="D637" s="78">
        <v>45965.0</v>
      </c>
      <c r="E637" s="61">
        <v>20000.0</v>
      </c>
      <c r="F637" s="130"/>
      <c r="G637" s="61">
        <f t="shared" si="4"/>
        <v>20000</v>
      </c>
      <c r="H637" s="94"/>
      <c r="I637" s="94"/>
      <c r="J637" s="94"/>
      <c r="K637" s="94"/>
    </row>
    <row r="638" ht="22.5" customHeight="1">
      <c r="A638" s="55">
        <v>636.0</v>
      </c>
      <c r="B638" s="55" t="s">
        <v>767</v>
      </c>
      <c r="C638" s="130"/>
      <c r="D638" s="78">
        <v>45965.0</v>
      </c>
      <c r="E638" s="61">
        <v>20000.0</v>
      </c>
      <c r="F638" s="130"/>
      <c r="G638" s="61">
        <f t="shared" si="4"/>
        <v>20000</v>
      </c>
      <c r="H638" s="94"/>
      <c r="I638" s="94"/>
      <c r="J638" s="94"/>
      <c r="K638" s="94"/>
    </row>
    <row r="639" ht="22.5" customHeight="1">
      <c r="A639" s="37">
        <v>637.0</v>
      </c>
      <c r="B639" s="55" t="s">
        <v>812</v>
      </c>
      <c r="C639" s="130"/>
      <c r="D639" s="78">
        <v>45965.0</v>
      </c>
      <c r="E639" s="61">
        <v>49656.0</v>
      </c>
      <c r="F639" s="130"/>
      <c r="G639" s="61">
        <f t="shared" si="4"/>
        <v>49656</v>
      </c>
      <c r="H639" s="94"/>
      <c r="I639" s="94"/>
      <c r="J639" s="94"/>
      <c r="K639" s="94"/>
    </row>
    <row r="640" ht="22.5" customHeight="1">
      <c r="A640" s="55">
        <v>638.0</v>
      </c>
      <c r="B640" s="55" t="s">
        <v>762</v>
      </c>
      <c r="C640" s="130"/>
      <c r="D640" s="78">
        <v>45965.0</v>
      </c>
      <c r="E640" s="61">
        <v>4112.0</v>
      </c>
      <c r="F640" s="130"/>
      <c r="G640" s="61">
        <f t="shared" si="4"/>
        <v>4112</v>
      </c>
      <c r="H640" s="94"/>
      <c r="I640" s="94"/>
      <c r="J640" s="94"/>
      <c r="K640" s="94"/>
    </row>
    <row r="641" ht="22.5" customHeight="1">
      <c r="A641" s="37">
        <v>639.0</v>
      </c>
      <c r="B641" s="55" t="s">
        <v>813</v>
      </c>
      <c r="C641" s="130"/>
      <c r="D641" s="78">
        <v>45965.0</v>
      </c>
      <c r="E641" s="61">
        <v>3010.0</v>
      </c>
      <c r="F641" s="130"/>
      <c r="G641" s="61">
        <f t="shared" si="4"/>
        <v>3010</v>
      </c>
      <c r="H641" s="94"/>
      <c r="I641" s="94"/>
      <c r="J641" s="94"/>
      <c r="K641" s="94"/>
    </row>
    <row r="642" ht="22.5" customHeight="1">
      <c r="A642" s="55">
        <v>640.0</v>
      </c>
      <c r="B642" s="55" t="s">
        <v>797</v>
      </c>
      <c r="C642" s="130"/>
      <c r="D642" s="78">
        <v>45965.0</v>
      </c>
      <c r="E642" s="61">
        <v>26580.0</v>
      </c>
      <c r="F642" s="130"/>
      <c r="G642" s="61">
        <f t="shared" si="4"/>
        <v>26580</v>
      </c>
      <c r="H642" s="94"/>
      <c r="I642" s="94"/>
      <c r="J642" s="94"/>
      <c r="K642" s="94"/>
    </row>
    <row r="643" ht="22.5" customHeight="1">
      <c r="A643" s="37">
        <v>641.0</v>
      </c>
      <c r="B643" s="55" t="s">
        <v>225</v>
      </c>
      <c r="C643" s="130"/>
      <c r="D643" s="78">
        <v>45965.0</v>
      </c>
      <c r="E643" s="61">
        <v>62036.0</v>
      </c>
      <c r="F643" s="130"/>
      <c r="G643" s="61">
        <f t="shared" si="4"/>
        <v>62036</v>
      </c>
      <c r="H643" s="94"/>
      <c r="I643" s="94"/>
      <c r="J643" s="94"/>
      <c r="K643" s="94"/>
    </row>
    <row r="644" ht="22.5" customHeight="1">
      <c r="A644" s="55">
        <v>642.0</v>
      </c>
      <c r="B644" s="55" t="s">
        <v>769</v>
      </c>
      <c r="C644" s="130"/>
      <c r="D644" s="78">
        <v>45966.0</v>
      </c>
      <c r="E644" s="61">
        <v>50000.0</v>
      </c>
      <c r="F644" s="130"/>
      <c r="G644" s="61">
        <f t="shared" si="4"/>
        <v>50000</v>
      </c>
      <c r="H644" s="94"/>
      <c r="I644" s="94"/>
      <c r="J644" s="94"/>
      <c r="K644" s="94"/>
    </row>
    <row r="645" ht="22.5" customHeight="1">
      <c r="A645" s="37">
        <v>643.0</v>
      </c>
      <c r="B645" s="55" t="s">
        <v>435</v>
      </c>
      <c r="C645" s="55" t="s">
        <v>712</v>
      </c>
      <c r="D645" s="78">
        <v>45966.0</v>
      </c>
      <c r="E645" s="61">
        <v>600000.0</v>
      </c>
      <c r="F645" s="130"/>
      <c r="G645" s="61">
        <f t="shared" si="4"/>
        <v>600000</v>
      </c>
      <c r="H645" s="94"/>
      <c r="I645" s="94"/>
      <c r="J645" s="94"/>
      <c r="K645" s="94"/>
    </row>
    <row r="646" ht="22.5" customHeight="1">
      <c r="A646" s="55">
        <v>644.0</v>
      </c>
      <c r="B646" s="55" t="s">
        <v>225</v>
      </c>
      <c r="C646" s="130"/>
      <c r="D646" s="78">
        <v>45967.0</v>
      </c>
      <c r="E646" s="61">
        <v>56081.0</v>
      </c>
      <c r="F646" s="130"/>
      <c r="G646" s="61">
        <f t="shared" si="4"/>
        <v>56081</v>
      </c>
      <c r="H646" s="94"/>
      <c r="I646" s="94"/>
      <c r="J646" s="94"/>
      <c r="K646" s="94"/>
    </row>
    <row r="647" ht="22.5" customHeight="1">
      <c r="A647" s="37">
        <v>645.0</v>
      </c>
      <c r="B647" s="55" t="s">
        <v>142</v>
      </c>
      <c r="C647" s="130"/>
      <c r="D647" s="78">
        <v>45967.0</v>
      </c>
      <c r="E647" s="61">
        <v>49000.0</v>
      </c>
      <c r="F647" s="130"/>
      <c r="G647" s="61">
        <f t="shared" si="4"/>
        <v>49000</v>
      </c>
      <c r="H647" s="94"/>
      <c r="I647" s="94"/>
      <c r="J647" s="94"/>
      <c r="K647" s="94"/>
    </row>
    <row r="648" ht="22.5" customHeight="1">
      <c r="A648" s="55">
        <v>646.0</v>
      </c>
      <c r="B648" s="55" t="s">
        <v>806</v>
      </c>
      <c r="C648" s="130"/>
      <c r="D648" s="78">
        <v>45967.0</v>
      </c>
      <c r="E648" s="61">
        <v>45100.0</v>
      </c>
      <c r="F648" s="130"/>
      <c r="G648" s="61">
        <f t="shared" si="4"/>
        <v>45100</v>
      </c>
      <c r="H648" s="94"/>
      <c r="I648" s="94"/>
      <c r="J648" s="94"/>
      <c r="K648" s="94"/>
    </row>
    <row r="649" ht="22.5" customHeight="1">
      <c r="A649" s="37">
        <v>647.0</v>
      </c>
      <c r="B649" s="55" t="s">
        <v>814</v>
      </c>
      <c r="C649" s="130"/>
      <c r="D649" s="78">
        <v>45967.0</v>
      </c>
      <c r="E649" s="61">
        <v>5000.0</v>
      </c>
      <c r="F649" s="130"/>
      <c r="G649" s="61">
        <f t="shared" si="4"/>
        <v>5000</v>
      </c>
      <c r="H649" s="94"/>
      <c r="I649" s="94"/>
      <c r="J649" s="94"/>
      <c r="K649" s="94"/>
    </row>
    <row r="650" ht="22.5" customHeight="1">
      <c r="A650" s="55">
        <v>648.0</v>
      </c>
      <c r="B650" s="55" t="s">
        <v>790</v>
      </c>
      <c r="C650" s="130"/>
      <c r="D650" s="78">
        <v>45967.0</v>
      </c>
      <c r="E650" s="61">
        <v>17700.0</v>
      </c>
      <c r="F650" s="130"/>
      <c r="G650" s="61">
        <f t="shared" si="4"/>
        <v>17700</v>
      </c>
      <c r="H650" s="94"/>
      <c r="I650" s="94"/>
      <c r="J650" s="94"/>
      <c r="K650" s="94"/>
    </row>
    <row r="651" ht="22.5" customHeight="1">
      <c r="A651" s="37">
        <v>649.0</v>
      </c>
      <c r="B651" s="55"/>
      <c r="C651" s="55" t="s">
        <v>712</v>
      </c>
      <c r="D651" s="78">
        <v>45967.0</v>
      </c>
      <c r="E651" s="61">
        <v>100000.0</v>
      </c>
      <c r="F651" s="130"/>
      <c r="G651" s="61">
        <f t="shared" si="4"/>
        <v>100000</v>
      </c>
      <c r="H651" s="94"/>
      <c r="I651" s="94"/>
      <c r="J651" s="94"/>
      <c r="K651" s="94"/>
    </row>
    <row r="652" ht="22.5" customHeight="1">
      <c r="A652" s="55">
        <v>650.0</v>
      </c>
      <c r="B652" s="55" t="s">
        <v>435</v>
      </c>
      <c r="C652" s="55" t="s">
        <v>712</v>
      </c>
      <c r="D652" s="78">
        <v>45967.0</v>
      </c>
      <c r="E652" s="61">
        <v>50000.0</v>
      </c>
      <c r="F652" s="130"/>
      <c r="G652" s="61">
        <f t="shared" si="4"/>
        <v>50000</v>
      </c>
      <c r="H652" s="94"/>
      <c r="I652" s="94"/>
      <c r="J652" s="94"/>
      <c r="K652" s="94"/>
    </row>
    <row r="653" ht="22.5" customHeight="1">
      <c r="A653" s="37">
        <v>651.0</v>
      </c>
      <c r="B653" s="55" t="s">
        <v>293</v>
      </c>
      <c r="C653" s="130"/>
      <c r="D653" s="78">
        <v>45968.0</v>
      </c>
      <c r="E653" s="61">
        <v>1125.09</v>
      </c>
      <c r="F653" s="130"/>
      <c r="G653" s="61">
        <f t="shared" si="4"/>
        <v>1125.09</v>
      </c>
      <c r="H653" s="94"/>
      <c r="I653" s="94"/>
      <c r="J653" s="94"/>
      <c r="K653" s="94"/>
    </row>
    <row r="654" ht="22.5" customHeight="1">
      <c r="A654" s="55">
        <v>652.0</v>
      </c>
      <c r="B654" s="55" t="s">
        <v>710</v>
      </c>
      <c r="C654" s="130"/>
      <c r="D654" s="78">
        <v>45968.0</v>
      </c>
      <c r="E654" s="61">
        <v>214.14</v>
      </c>
      <c r="F654" s="130"/>
      <c r="G654" s="61">
        <f t="shared" si="4"/>
        <v>214.14</v>
      </c>
      <c r="H654" s="94"/>
      <c r="I654" s="94"/>
      <c r="J654" s="94"/>
      <c r="K654" s="94"/>
    </row>
    <row r="655" ht="22.5" customHeight="1">
      <c r="A655" s="37">
        <v>653.0</v>
      </c>
      <c r="B655" s="55" t="s">
        <v>710</v>
      </c>
      <c r="C655" s="130"/>
      <c r="D655" s="78">
        <v>45968.0</v>
      </c>
      <c r="E655" s="61">
        <v>214.14</v>
      </c>
      <c r="F655" s="130"/>
      <c r="G655" s="61">
        <f t="shared" si="4"/>
        <v>214.14</v>
      </c>
      <c r="H655" s="94"/>
      <c r="I655" s="94"/>
      <c r="J655" s="94"/>
      <c r="K655" s="94"/>
    </row>
    <row r="656" ht="22.5" customHeight="1">
      <c r="A656" s="55">
        <v>654.0</v>
      </c>
      <c r="B656" s="55" t="s">
        <v>815</v>
      </c>
      <c r="C656" s="130"/>
      <c r="D656" s="78">
        <v>45968.0</v>
      </c>
      <c r="E656" s="61">
        <v>10000.0</v>
      </c>
      <c r="F656" s="130"/>
      <c r="G656" s="61">
        <f t="shared" si="4"/>
        <v>10000</v>
      </c>
      <c r="H656" s="94"/>
      <c r="I656" s="94"/>
      <c r="J656" s="94"/>
      <c r="K656" s="94"/>
    </row>
    <row r="657" ht="22.5" customHeight="1">
      <c r="A657" s="37">
        <v>655.0</v>
      </c>
      <c r="B657" s="55" t="s">
        <v>816</v>
      </c>
      <c r="C657" s="130"/>
      <c r="D657" s="78">
        <v>45968.0</v>
      </c>
      <c r="E657" s="61">
        <v>1500.0</v>
      </c>
      <c r="F657" s="130"/>
      <c r="G657" s="61">
        <f t="shared" si="4"/>
        <v>1500</v>
      </c>
      <c r="H657" s="94"/>
      <c r="I657" s="94"/>
      <c r="J657" s="94"/>
      <c r="K657" s="94"/>
    </row>
    <row r="658" ht="22.5" customHeight="1">
      <c r="A658" s="55">
        <v>656.0</v>
      </c>
      <c r="B658" s="55" t="s">
        <v>817</v>
      </c>
      <c r="C658" s="130"/>
      <c r="D658" s="78">
        <v>45968.0</v>
      </c>
      <c r="E658" s="61">
        <v>18400.0</v>
      </c>
      <c r="F658" s="130"/>
      <c r="G658" s="61">
        <f t="shared" si="4"/>
        <v>18400</v>
      </c>
      <c r="H658" s="94"/>
      <c r="I658" s="94"/>
      <c r="J658" s="94"/>
      <c r="K658" s="94"/>
    </row>
    <row r="659" ht="22.5" customHeight="1">
      <c r="A659" s="37">
        <v>657.0</v>
      </c>
      <c r="B659" s="55" t="s">
        <v>818</v>
      </c>
      <c r="C659" s="130"/>
      <c r="D659" s="78">
        <v>45968.0</v>
      </c>
      <c r="E659" s="61">
        <v>3734.0</v>
      </c>
      <c r="F659" s="130"/>
      <c r="G659" s="61">
        <f t="shared" si="4"/>
        <v>3734</v>
      </c>
      <c r="H659" s="94"/>
      <c r="I659" s="94"/>
      <c r="J659" s="94"/>
      <c r="K659" s="94"/>
    </row>
    <row r="660" ht="22.5" customHeight="1">
      <c r="A660" s="55">
        <v>658.0</v>
      </c>
      <c r="B660" s="55" t="s">
        <v>819</v>
      </c>
      <c r="C660" s="130"/>
      <c r="D660" s="78">
        <v>45968.0</v>
      </c>
      <c r="E660" s="61">
        <v>16000.0</v>
      </c>
      <c r="F660" s="130"/>
      <c r="G660" s="61">
        <f t="shared" si="4"/>
        <v>16000</v>
      </c>
      <c r="H660" s="94"/>
      <c r="I660" s="94"/>
      <c r="J660" s="94"/>
      <c r="K660" s="94"/>
    </row>
    <row r="661" ht="22.5" customHeight="1">
      <c r="A661" s="37">
        <v>659.0</v>
      </c>
      <c r="B661" s="55" t="s">
        <v>820</v>
      </c>
      <c r="C661" s="130"/>
      <c r="D661" s="78">
        <v>45968.0</v>
      </c>
      <c r="E661" s="61">
        <v>17500.0</v>
      </c>
      <c r="F661" s="130"/>
      <c r="G661" s="61">
        <f t="shared" si="4"/>
        <v>17500</v>
      </c>
      <c r="H661" s="94"/>
      <c r="I661" s="94"/>
      <c r="J661" s="94"/>
      <c r="K661" s="94"/>
    </row>
    <row r="662" ht="22.5" customHeight="1">
      <c r="A662" s="55">
        <v>660.0</v>
      </c>
      <c r="B662" s="55" t="s">
        <v>821</v>
      </c>
      <c r="C662" s="130"/>
      <c r="D662" s="78">
        <v>45968.0</v>
      </c>
      <c r="E662" s="61">
        <v>10000.0</v>
      </c>
      <c r="F662" s="130"/>
      <c r="G662" s="61">
        <f t="shared" si="4"/>
        <v>10000</v>
      </c>
      <c r="H662" s="94"/>
      <c r="I662" s="94"/>
      <c r="J662" s="94"/>
      <c r="K662" s="94"/>
    </row>
    <row r="663" ht="22.5" customHeight="1">
      <c r="A663" s="37">
        <v>661.0</v>
      </c>
      <c r="B663" s="55" t="s">
        <v>821</v>
      </c>
      <c r="C663" s="130"/>
      <c r="D663" s="78">
        <v>45968.0</v>
      </c>
      <c r="E663" s="61">
        <v>2058.0</v>
      </c>
      <c r="F663" s="130"/>
      <c r="G663" s="61">
        <f t="shared" si="4"/>
        <v>2058</v>
      </c>
      <c r="H663" s="94"/>
      <c r="I663" s="94"/>
      <c r="J663" s="94"/>
      <c r="K663" s="94"/>
    </row>
    <row r="664" ht="22.5" customHeight="1">
      <c r="A664" s="55">
        <v>662.0</v>
      </c>
      <c r="B664" s="55" t="s">
        <v>822</v>
      </c>
      <c r="C664" s="130"/>
      <c r="D664" s="78">
        <v>45968.0</v>
      </c>
      <c r="E664" s="61">
        <v>21279.0</v>
      </c>
      <c r="F664" s="130"/>
      <c r="G664" s="61">
        <f t="shared" si="4"/>
        <v>21279</v>
      </c>
      <c r="H664" s="94"/>
      <c r="I664" s="94"/>
      <c r="J664" s="94"/>
      <c r="K664" s="94"/>
    </row>
    <row r="665" ht="22.5" customHeight="1">
      <c r="A665" s="37">
        <v>663.0</v>
      </c>
      <c r="B665" s="55" t="s">
        <v>823</v>
      </c>
      <c r="C665" s="130"/>
      <c r="D665" s="78">
        <v>45968.0</v>
      </c>
      <c r="E665" s="61">
        <v>15000.0</v>
      </c>
      <c r="F665" s="130"/>
      <c r="G665" s="61">
        <f t="shared" si="4"/>
        <v>15000</v>
      </c>
      <c r="H665" s="94"/>
      <c r="I665" s="94"/>
      <c r="J665" s="94"/>
      <c r="K665" s="94"/>
    </row>
    <row r="666" ht="22.5" customHeight="1">
      <c r="A666" s="55">
        <v>664.0</v>
      </c>
      <c r="B666" s="55" t="s">
        <v>824</v>
      </c>
      <c r="C666" s="130"/>
      <c r="D666" s="78">
        <v>45968.0</v>
      </c>
      <c r="E666" s="61">
        <v>15000.0</v>
      </c>
      <c r="F666" s="130"/>
      <c r="G666" s="61">
        <f t="shared" si="4"/>
        <v>15000</v>
      </c>
      <c r="H666" s="94"/>
      <c r="I666" s="94"/>
      <c r="J666" s="94"/>
      <c r="K666" s="94"/>
    </row>
    <row r="667" ht="22.5" customHeight="1">
      <c r="A667" s="37">
        <v>665.0</v>
      </c>
      <c r="B667" s="55" t="s">
        <v>825</v>
      </c>
      <c r="C667" s="130"/>
      <c r="D667" s="78">
        <v>45968.0</v>
      </c>
      <c r="E667" s="61">
        <v>28372.0</v>
      </c>
      <c r="F667" s="130"/>
      <c r="G667" s="61">
        <f t="shared" si="4"/>
        <v>28372</v>
      </c>
      <c r="H667" s="94"/>
      <c r="I667" s="94"/>
      <c r="J667" s="94"/>
      <c r="K667" s="94"/>
    </row>
    <row r="668" ht="22.5" customHeight="1">
      <c r="A668" s="55">
        <v>666.0</v>
      </c>
      <c r="B668" s="55" t="s">
        <v>826</v>
      </c>
      <c r="C668" s="130"/>
      <c r="D668" s="78">
        <v>45968.0</v>
      </c>
      <c r="E668" s="61">
        <v>30372.0</v>
      </c>
      <c r="F668" s="130"/>
      <c r="G668" s="61">
        <f t="shared" si="4"/>
        <v>30372</v>
      </c>
      <c r="H668" s="94"/>
      <c r="I668" s="94"/>
      <c r="J668" s="94"/>
      <c r="K668" s="94"/>
    </row>
    <row r="669" ht="22.5" customHeight="1">
      <c r="A669" s="37">
        <v>667.0</v>
      </c>
      <c r="B669" s="55" t="s">
        <v>827</v>
      </c>
      <c r="C669" s="130"/>
      <c r="D669" s="78">
        <v>45968.0</v>
      </c>
      <c r="E669" s="61">
        <v>25000.0</v>
      </c>
      <c r="F669" s="130"/>
      <c r="G669" s="61">
        <f t="shared" si="4"/>
        <v>25000</v>
      </c>
      <c r="H669" s="94"/>
      <c r="I669" s="94"/>
      <c r="J669" s="94"/>
      <c r="K669" s="94"/>
    </row>
    <row r="670" ht="22.5" customHeight="1">
      <c r="A670" s="55">
        <v>668.0</v>
      </c>
      <c r="B670" s="55" t="s">
        <v>828</v>
      </c>
      <c r="C670" s="130"/>
      <c r="D670" s="78">
        <v>45968.0</v>
      </c>
      <c r="E670" s="61">
        <v>7000.0</v>
      </c>
      <c r="F670" s="130"/>
      <c r="G670" s="61">
        <f t="shared" si="4"/>
        <v>7000</v>
      </c>
      <c r="H670" s="94"/>
      <c r="I670" s="94"/>
      <c r="J670" s="94"/>
      <c r="K670" s="94"/>
    </row>
    <row r="671" ht="22.5" customHeight="1">
      <c r="A671" s="37">
        <v>669.0</v>
      </c>
      <c r="B671" s="55" t="s">
        <v>829</v>
      </c>
      <c r="C671" s="130"/>
      <c r="D671" s="78">
        <v>45968.0</v>
      </c>
      <c r="E671" s="61">
        <v>8038.0</v>
      </c>
      <c r="F671" s="130"/>
      <c r="G671" s="61">
        <f t="shared" si="4"/>
        <v>8038</v>
      </c>
      <c r="H671" s="94"/>
      <c r="I671" s="94"/>
      <c r="J671" s="94"/>
      <c r="K671" s="94"/>
    </row>
    <row r="672" ht="22.5" customHeight="1">
      <c r="A672" s="55">
        <v>670.0</v>
      </c>
      <c r="B672" s="55" t="s">
        <v>541</v>
      </c>
      <c r="C672" s="130"/>
      <c r="D672" s="78">
        <v>45968.0</v>
      </c>
      <c r="E672" s="61">
        <v>25661.0</v>
      </c>
      <c r="F672" s="130"/>
      <c r="G672" s="61">
        <f t="shared" si="4"/>
        <v>25661</v>
      </c>
      <c r="H672" s="94"/>
      <c r="I672" s="94"/>
      <c r="J672" s="94"/>
      <c r="K672" s="94"/>
    </row>
    <row r="673" ht="22.5" customHeight="1">
      <c r="A673" s="37">
        <v>671.0</v>
      </c>
      <c r="B673" s="55" t="s">
        <v>830</v>
      </c>
      <c r="C673" s="130"/>
      <c r="D673" s="78">
        <v>45968.0</v>
      </c>
      <c r="E673" s="61">
        <v>9000.0</v>
      </c>
      <c r="F673" s="130"/>
      <c r="G673" s="61">
        <f t="shared" si="4"/>
        <v>9000</v>
      </c>
      <c r="H673" s="94"/>
      <c r="I673" s="94"/>
      <c r="J673" s="94"/>
      <c r="K673" s="94"/>
    </row>
    <row r="674" ht="22.5" customHeight="1">
      <c r="A674" s="55">
        <v>672.0</v>
      </c>
      <c r="B674" s="55" t="s">
        <v>796</v>
      </c>
      <c r="C674" s="130"/>
      <c r="D674" s="78">
        <v>45968.0</v>
      </c>
      <c r="E674" s="61">
        <v>16000.0</v>
      </c>
      <c r="F674" s="130"/>
      <c r="G674" s="61">
        <f t="shared" si="4"/>
        <v>16000</v>
      </c>
      <c r="H674" s="94"/>
      <c r="I674" s="94"/>
      <c r="J674" s="94"/>
      <c r="K674" s="94"/>
    </row>
    <row r="675" ht="22.5" customHeight="1">
      <c r="A675" s="37">
        <v>673.0</v>
      </c>
      <c r="B675" s="55" t="s">
        <v>831</v>
      </c>
      <c r="C675" s="130"/>
      <c r="D675" s="78">
        <v>45968.0</v>
      </c>
      <c r="E675" s="61">
        <v>30000.0</v>
      </c>
      <c r="F675" s="130"/>
      <c r="G675" s="61">
        <f t="shared" si="4"/>
        <v>30000</v>
      </c>
      <c r="H675" s="94"/>
      <c r="I675" s="94"/>
      <c r="J675" s="94"/>
      <c r="K675" s="94"/>
    </row>
    <row r="676" ht="22.5" customHeight="1">
      <c r="A676" s="55">
        <v>674.0</v>
      </c>
      <c r="B676" s="55" t="s">
        <v>832</v>
      </c>
      <c r="C676" s="130"/>
      <c r="D676" s="78">
        <v>45968.0</v>
      </c>
      <c r="E676" s="61">
        <v>6600.0</v>
      </c>
      <c r="F676" s="130"/>
      <c r="G676" s="61">
        <f t="shared" si="4"/>
        <v>6600</v>
      </c>
      <c r="H676" s="94"/>
      <c r="I676" s="94"/>
      <c r="J676" s="94"/>
      <c r="K676" s="94"/>
    </row>
    <row r="677" ht="22.5" customHeight="1">
      <c r="A677" s="37">
        <v>675.0</v>
      </c>
      <c r="B677" s="55" t="s">
        <v>833</v>
      </c>
      <c r="C677" s="130"/>
      <c r="D677" s="78">
        <v>45971.0</v>
      </c>
      <c r="E677" s="61">
        <v>38278.0</v>
      </c>
      <c r="F677" s="130"/>
      <c r="G677" s="61">
        <f t="shared" si="4"/>
        <v>38278</v>
      </c>
      <c r="H677" s="94"/>
      <c r="I677" s="94"/>
      <c r="J677" s="94"/>
      <c r="K677" s="94"/>
    </row>
    <row r="678" ht="22.5" customHeight="1">
      <c r="A678" s="55">
        <v>676.0</v>
      </c>
      <c r="B678" s="55" t="s">
        <v>834</v>
      </c>
      <c r="C678" s="130"/>
      <c r="D678" s="78">
        <v>45971.0</v>
      </c>
      <c r="E678" s="61">
        <v>18000.0</v>
      </c>
      <c r="F678" s="130"/>
      <c r="G678" s="61">
        <f t="shared" si="4"/>
        <v>18000</v>
      </c>
      <c r="H678" s="94"/>
      <c r="I678" s="94"/>
      <c r="J678" s="94"/>
      <c r="K678" s="94"/>
    </row>
    <row r="679" ht="22.5" customHeight="1">
      <c r="A679" s="37">
        <v>677.0</v>
      </c>
      <c r="B679" s="55" t="s">
        <v>835</v>
      </c>
      <c r="C679" s="130"/>
      <c r="D679" s="78">
        <v>45971.0</v>
      </c>
      <c r="E679" s="61">
        <v>15000.0</v>
      </c>
      <c r="F679" s="130"/>
      <c r="G679" s="61">
        <f t="shared" si="4"/>
        <v>15000</v>
      </c>
      <c r="H679" s="94"/>
      <c r="I679" s="94"/>
      <c r="J679" s="94"/>
      <c r="K679" s="94"/>
    </row>
    <row r="680" ht="22.5" customHeight="1">
      <c r="A680" s="55">
        <v>678.0</v>
      </c>
      <c r="B680" s="55" t="s">
        <v>836</v>
      </c>
      <c r="C680" s="130"/>
      <c r="D680" s="78">
        <v>45971.0</v>
      </c>
      <c r="E680" s="61">
        <v>26500.0</v>
      </c>
      <c r="F680" s="130"/>
      <c r="G680" s="61">
        <f t="shared" si="4"/>
        <v>26500</v>
      </c>
      <c r="H680" s="94"/>
      <c r="I680" s="94"/>
      <c r="J680" s="94"/>
      <c r="K680" s="94"/>
    </row>
    <row r="681" ht="22.5" customHeight="1">
      <c r="A681" s="37">
        <v>679.0</v>
      </c>
      <c r="B681" s="55" t="s">
        <v>109</v>
      </c>
      <c r="C681" s="130"/>
      <c r="D681" s="78">
        <v>45971.0</v>
      </c>
      <c r="E681" s="61">
        <v>12653.69</v>
      </c>
      <c r="F681" s="130"/>
      <c r="G681" s="61">
        <f t="shared" si="4"/>
        <v>12653.69</v>
      </c>
      <c r="H681" s="94"/>
      <c r="I681" s="94"/>
      <c r="J681" s="94"/>
      <c r="K681" s="94"/>
    </row>
    <row r="682" ht="22.5" customHeight="1">
      <c r="A682" s="55">
        <v>680.0</v>
      </c>
      <c r="B682" s="55" t="s">
        <v>673</v>
      </c>
      <c r="C682" s="130"/>
      <c r="D682" s="78">
        <v>45972.0</v>
      </c>
      <c r="E682" s="61">
        <v>47200.0</v>
      </c>
      <c r="F682" s="130"/>
      <c r="G682" s="61">
        <f t="shared" si="4"/>
        <v>47200</v>
      </c>
      <c r="H682" s="94"/>
      <c r="I682" s="94"/>
      <c r="J682" s="94"/>
      <c r="K682" s="94"/>
    </row>
    <row r="683" ht="22.5" customHeight="1">
      <c r="A683" s="37">
        <v>681.0</v>
      </c>
      <c r="B683" s="55" t="s">
        <v>686</v>
      </c>
      <c r="C683" s="130"/>
      <c r="D683" s="78">
        <v>45972.0</v>
      </c>
      <c r="E683" s="61">
        <v>100000.0</v>
      </c>
      <c r="F683" s="130"/>
      <c r="G683" s="61">
        <f t="shared" si="4"/>
        <v>100000</v>
      </c>
      <c r="H683" s="94"/>
      <c r="I683" s="94"/>
      <c r="J683" s="94"/>
      <c r="K683" s="94"/>
    </row>
    <row r="684" ht="22.5" customHeight="1">
      <c r="A684" s="55">
        <v>682.0</v>
      </c>
      <c r="B684" s="55" t="s">
        <v>837</v>
      </c>
      <c r="C684" s="130"/>
      <c r="D684" s="78">
        <v>45972.0</v>
      </c>
      <c r="E684" s="61">
        <v>8739.0</v>
      </c>
      <c r="F684" s="130"/>
      <c r="G684" s="61">
        <f t="shared" si="4"/>
        <v>8739</v>
      </c>
      <c r="H684" s="94"/>
      <c r="I684" s="94"/>
      <c r="J684" s="94"/>
      <c r="K684" s="94"/>
    </row>
    <row r="685" ht="22.5" customHeight="1">
      <c r="A685" s="37">
        <v>683.0</v>
      </c>
      <c r="B685" s="55" t="s">
        <v>359</v>
      </c>
      <c r="C685" s="130"/>
      <c r="D685" s="78">
        <v>45972.0</v>
      </c>
      <c r="E685" s="61">
        <v>18000.0</v>
      </c>
      <c r="F685" s="130"/>
      <c r="G685" s="61">
        <f t="shared" si="4"/>
        <v>18000</v>
      </c>
      <c r="H685" s="94"/>
      <c r="I685" s="94"/>
      <c r="J685" s="94"/>
      <c r="K685" s="94"/>
    </row>
    <row r="686" ht="22.5" customHeight="1">
      <c r="A686" s="55">
        <v>684.0</v>
      </c>
      <c r="B686" s="55" t="s">
        <v>762</v>
      </c>
      <c r="C686" s="130"/>
      <c r="D686" s="78">
        <v>45972.0</v>
      </c>
      <c r="E686" s="61">
        <v>7986.0</v>
      </c>
      <c r="F686" s="130"/>
      <c r="G686" s="61">
        <f t="shared" si="4"/>
        <v>7986</v>
      </c>
      <c r="H686" s="94"/>
      <c r="I686" s="94"/>
      <c r="J686" s="94"/>
      <c r="K686" s="94"/>
    </row>
    <row r="687" ht="22.5" customHeight="1">
      <c r="A687" s="37">
        <v>685.0</v>
      </c>
      <c r="B687" s="55" t="s">
        <v>765</v>
      </c>
      <c r="C687" s="130"/>
      <c r="D687" s="78">
        <v>45972.0</v>
      </c>
      <c r="E687" s="61">
        <v>3396.0</v>
      </c>
      <c r="F687" s="130"/>
      <c r="G687" s="61">
        <f t="shared" si="4"/>
        <v>3396</v>
      </c>
      <c r="H687" s="94"/>
      <c r="I687" s="94"/>
      <c r="J687" s="94"/>
      <c r="K687" s="94"/>
    </row>
    <row r="688" ht="22.5" customHeight="1">
      <c r="A688" s="55">
        <v>686.0</v>
      </c>
      <c r="B688" s="55" t="s">
        <v>838</v>
      </c>
      <c r="C688" s="130"/>
      <c r="D688" s="78">
        <v>45972.0</v>
      </c>
      <c r="E688" s="61">
        <v>8170.0</v>
      </c>
      <c r="F688" s="130"/>
      <c r="G688" s="61">
        <f t="shared" si="4"/>
        <v>8170</v>
      </c>
      <c r="H688" s="94"/>
      <c r="I688" s="94"/>
      <c r="J688" s="94"/>
      <c r="K688" s="94"/>
    </row>
    <row r="689" ht="22.5" customHeight="1">
      <c r="A689" s="37">
        <v>687.0</v>
      </c>
      <c r="B689" s="55" t="s">
        <v>839</v>
      </c>
      <c r="C689" s="130"/>
      <c r="D689" s="78">
        <v>45972.0</v>
      </c>
      <c r="E689" s="61">
        <v>31027.0</v>
      </c>
      <c r="F689" s="130"/>
      <c r="G689" s="61">
        <f t="shared" si="4"/>
        <v>31027</v>
      </c>
      <c r="H689" s="94"/>
      <c r="I689" s="94"/>
      <c r="J689" s="94"/>
      <c r="K689" s="94"/>
    </row>
    <row r="690" ht="22.5" customHeight="1">
      <c r="A690" s="55">
        <v>688.0</v>
      </c>
      <c r="B690" s="55" t="s">
        <v>840</v>
      </c>
      <c r="C690" s="130"/>
      <c r="D690" s="78">
        <v>45972.0</v>
      </c>
      <c r="E690" s="61">
        <v>38000.0</v>
      </c>
      <c r="F690" s="130"/>
      <c r="G690" s="61">
        <f t="shared" si="4"/>
        <v>38000</v>
      </c>
      <c r="H690" s="94"/>
      <c r="I690" s="94"/>
      <c r="J690" s="94"/>
      <c r="K690" s="94"/>
    </row>
    <row r="691" ht="22.5" customHeight="1">
      <c r="A691" s="37">
        <v>689.0</v>
      </c>
      <c r="B691" s="55" t="s">
        <v>109</v>
      </c>
      <c r="C691" s="130"/>
      <c r="D691" s="78">
        <v>45972.0</v>
      </c>
      <c r="E691" s="61">
        <v>26144.0</v>
      </c>
      <c r="F691" s="130"/>
      <c r="G691" s="61">
        <f t="shared" si="4"/>
        <v>26144</v>
      </c>
      <c r="H691" s="94"/>
      <c r="I691" s="94"/>
      <c r="J691" s="94"/>
      <c r="K691" s="94"/>
    </row>
    <row r="692" ht="22.5" customHeight="1">
      <c r="A692" s="55">
        <v>690.0</v>
      </c>
      <c r="B692" s="55" t="s">
        <v>841</v>
      </c>
      <c r="C692" s="130"/>
      <c r="D692" s="78">
        <v>45973.0</v>
      </c>
      <c r="E692" s="61">
        <v>5900.0</v>
      </c>
      <c r="F692" s="130"/>
      <c r="G692" s="61">
        <f t="shared" si="4"/>
        <v>5900</v>
      </c>
      <c r="H692" s="94"/>
      <c r="I692" s="94"/>
      <c r="J692" s="94"/>
      <c r="K692" s="94"/>
    </row>
    <row r="693" ht="22.5" customHeight="1">
      <c r="A693" s="37">
        <v>691.0</v>
      </c>
      <c r="B693" s="55" t="s">
        <v>784</v>
      </c>
      <c r="C693" s="130"/>
      <c r="D693" s="78">
        <v>45973.0</v>
      </c>
      <c r="E693" s="61">
        <v>1842.42</v>
      </c>
      <c r="F693" s="130"/>
      <c r="G693" s="61">
        <f t="shared" si="4"/>
        <v>1842.42</v>
      </c>
      <c r="H693" s="94"/>
      <c r="I693" s="94"/>
      <c r="J693" s="94"/>
      <c r="K693" s="94"/>
    </row>
    <row r="694" ht="22.5" customHeight="1">
      <c r="A694" s="55">
        <v>692.0</v>
      </c>
      <c r="B694" s="55" t="s">
        <v>109</v>
      </c>
      <c r="C694" s="130"/>
      <c r="D694" s="78">
        <v>45973.0</v>
      </c>
      <c r="E694" s="61">
        <v>9494.0</v>
      </c>
      <c r="F694" s="130"/>
      <c r="G694" s="61">
        <f t="shared" si="4"/>
        <v>9494</v>
      </c>
      <c r="H694" s="94"/>
      <c r="I694" s="94"/>
      <c r="J694" s="94"/>
      <c r="K694" s="94"/>
    </row>
    <row r="695" ht="22.5" customHeight="1">
      <c r="A695" s="37">
        <v>693.0</v>
      </c>
      <c r="B695" s="207" t="s">
        <v>841</v>
      </c>
      <c r="C695" s="208"/>
      <c r="D695" s="209">
        <v>45973.0</v>
      </c>
      <c r="E695" s="210">
        <v>5900.0</v>
      </c>
      <c r="F695" s="208"/>
      <c r="G695" s="210">
        <f t="shared" si="4"/>
        <v>5900</v>
      </c>
      <c r="H695" s="94"/>
      <c r="I695" s="94"/>
      <c r="J695" s="94"/>
      <c r="K695" s="94"/>
    </row>
    <row r="696" ht="22.5" customHeight="1">
      <c r="A696" s="55">
        <v>694.0</v>
      </c>
      <c r="B696" s="211" t="s">
        <v>719</v>
      </c>
      <c r="C696" s="190"/>
      <c r="D696" s="212">
        <v>45973.0</v>
      </c>
      <c r="E696" s="213">
        <v>55224.0</v>
      </c>
      <c r="F696" s="190"/>
      <c r="G696" s="213">
        <f t="shared" si="4"/>
        <v>55224</v>
      </c>
      <c r="H696" s="94"/>
      <c r="I696" s="94"/>
      <c r="J696" s="94"/>
      <c r="K696" s="94"/>
    </row>
    <row r="697" ht="22.5" customHeight="1">
      <c r="A697" s="37">
        <v>695.0</v>
      </c>
      <c r="B697" s="207" t="s">
        <v>842</v>
      </c>
      <c r="C697" s="208"/>
      <c r="D697" s="209">
        <v>45973.0</v>
      </c>
      <c r="E697" s="210">
        <v>100000.0</v>
      </c>
      <c r="F697" s="208"/>
      <c r="G697" s="210">
        <f t="shared" si="4"/>
        <v>100000</v>
      </c>
      <c r="H697" s="94"/>
      <c r="I697" s="94"/>
      <c r="J697" s="94"/>
      <c r="K697" s="94"/>
    </row>
    <row r="698" ht="22.5" customHeight="1">
      <c r="A698" s="55">
        <v>696.0</v>
      </c>
      <c r="B698" s="211" t="s">
        <v>843</v>
      </c>
      <c r="C698" s="190"/>
      <c r="D698" s="212">
        <v>45973.0</v>
      </c>
      <c r="E698" s="213">
        <v>20000.0</v>
      </c>
      <c r="F698" s="190"/>
      <c r="G698" s="213">
        <f t="shared" si="4"/>
        <v>20000</v>
      </c>
      <c r="H698" s="94"/>
      <c r="I698" s="94"/>
      <c r="J698" s="94"/>
      <c r="K698" s="94"/>
    </row>
    <row r="699" ht="22.5" customHeight="1">
      <c r="A699" s="37">
        <v>697.0</v>
      </c>
      <c r="B699" s="207" t="s">
        <v>844</v>
      </c>
      <c r="C699" s="208"/>
      <c r="D699" s="209">
        <v>45974.0</v>
      </c>
      <c r="E699" s="210">
        <v>20000.0</v>
      </c>
      <c r="F699" s="208"/>
      <c r="G699" s="210">
        <f t="shared" si="4"/>
        <v>20000</v>
      </c>
      <c r="H699" s="94"/>
      <c r="I699" s="94"/>
      <c r="J699" s="94"/>
      <c r="K699" s="94"/>
    </row>
    <row r="700" ht="22.5" customHeight="1">
      <c r="A700" s="55">
        <v>698.0</v>
      </c>
      <c r="B700" s="211" t="s">
        <v>109</v>
      </c>
      <c r="C700" s="190"/>
      <c r="D700" s="212">
        <v>45974.0</v>
      </c>
      <c r="E700" s="213">
        <v>5804.0</v>
      </c>
      <c r="F700" s="190"/>
      <c r="G700" s="213">
        <f t="shared" si="4"/>
        <v>5804</v>
      </c>
      <c r="H700" s="94"/>
      <c r="I700" s="94"/>
      <c r="J700" s="94"/>
      <c r="K700" s="94"/>
    </row>
    <row r="701" ht="22.5" customHeight="1">
      <c r="A701" s="37">
        <v>699.0</v>
      </c>
      <c r="B701" s="207" t="s">
        <v>293</v>
      </c>
      <c r="C701" s="208"/>
      <c r="D701" s="209">
        <v>45974.0</v>
      </c>
      <c r="E701" s="210">
        <v>33773.0</v>
      </c>
      <c r="F701" s="208"/>
      <c r="G701" s="210">
        <f t="shared" si="4"/>
        <v>33773</v>
      </c>
      <c r="H701" s="94"/>
      <c r="I701" s="94"/>
      <c r="J701" s="94"/>
      <c r="K701" s="94"/>
    </row>
    <row r="702" ht="22.5" customHeight="1">
      <c r="A702" s="55">
        <v>700.0</v>
      </c>
      <c r="B702" s="211" t="s">
        <v>435</v>
      </c>
      <c r="C702" s="214" t="s">
        <v>712</v>
      </c>
      <c r="D702" s="212">
        <v>45976.0</v>
      </c>
      <c r="E702" s="213">
        <v>461160.0</v>
      </c>
      <c r="F702" s="190"/>
      <c r="G702" s="213">
        <f t="shared" si="4"/>
        <v>461160</v>
      </c>
      <c r="H702" s="94"/>
      <c r="I702" s="94"/>
      <c r="J702" s="94"/>
      <c r="K702" s="94"/>
    </row>
    <row r="703" ht="22.5" customHeight="1">
      <c r="A703" s="37">
        <v>701.0</v>
      </c>
      <c r="B703" s="207" t="s">
        <v>845</v>
      </c>
      <c r="C703" s="208"/>
      <c r="D703" s="209">
        <v>45979.0</v>
      </c>
      <c r="E703" s="210">
        <v>59000.0</v>
      </c>
      <c r="F703" s="208"/>
      <c r="G703" s="210">
        <f t="shared" si="4"/>
        <v>59000</v>
      </c>
      <c r="H703" s="94"/>
      <c r="I703" s="94"/>
      <c r="J703" s="94"/>
      <c r="K703" s="94"/>
    </row>
    <row r="704" ht="22.5" customHeight="1">
      <c r="A704" s="55">
        <v>702.0</v>
      </c>
      <c r="B704" s="211" t="s">
        <v>846</v>
      </c>
      <c r="C704" s="190"/>
      <c r="D704" s="212">
        <v>45979.0</v>
      </c>
      <c r="E704" s="213">
        <v>19342.0</v>
      </c>
      <c r="F704" s="190"/>
      <c r="G704" s="213">
        <f t="shared" si="4"/>
        <v>19342</v>
      </c>
      <c r="H704" s="94"/>
      <c r="I704" s="94"/>
      <c r="J704" s="94"/>
      <c r="K704" s="94"/>
    </row>
    <row r="705" ht="22.5" customHeight="1">
      <c r="A705" s="37">
        <v>703.0</v>
      </c>
      <c r="B705" s="207" t="s">
        <v>847</v>
      </c>
      <c r="C705" s="208"/>
      <c r="D705" s="209">
        <v>45979.0</v>
      </c>
      <c r="E705" s="210">
        <v>27000.0</v>
      </c>
      <c r="F705" s="208"/>
      <c r="G705" s="210">
        <f t="shared" si="4"/>
        <v>27000</v>
      </c>
      <c r="H705" s="94"/>
      <c r="I705" s="94"/>
      <c r="J705" s="94"/>
      <c r="K705" s="94"/>
    </row>
    <row r="706" ht="22.5" customHeight="1">
      <c r="A706" s="55">
        <v>704.0</v>
      </c>
      <c r="B706" s="211" t="s">
        <v>705</v>
      </c>
      <c r="C706" s="190"/>
      <c r="D706" s="212">
        <v>45979.0</v>
      </c>
      <c r="E706" s="213">
        <v>9469.0</v>
      </c>
      <c r="F706" s="190"/>
      <c r="G706" s="213">
        <f t="shared" si="4"/>
        <v>9469</v>
      </c>
      <c r="H706" s="94"/>
      <c r="I706" s="94"/>
      <c r="J706" s="94"/>
      <c r="K706" s="94"/>
    </row>
    <row r="707" ht="22.5" customHeight="1">
      <c r="A707" s="37">
        <v>705.0</v>
      </c>
      <c r="B707" s="207" t="s">
        <v>848</v>
      </c>
      <c r="C707" s="208"/>
      <c r="D707" s="209">
        <v>45979.0</v>
      </c>
      <c r="E707" s="210">
        <v>47200.0</v>
      </c>
      <c r="F707" s="208"/>
      <c r="G707" s="210">
        <f t="shared" si="4"/>
        <v>47200</v>
      </c>
      <c r="H707" s="94"/>
      <c r="I707" s="94"/>
      <c r="J707" s="94"/>
      <c r="K707" s="94"/>
    </row>
    <row r="708" ht="22.5" customHeight="1">
      <c r="A708" s="55">
        <v>706.0</v>
      </c>
      <c r="B708" s="211" t="s">
        <v>760</v>
      </c>
      <c r="C708" s="190"/>
      <c r="D708" s="212">
        <v>45979.0</v>
      </c>
      <c r="E708" s="213">
        <v>18335.0</v>
      </c>
      <c r="F708" s="190"/>
      <c r="G708" s="213">
        <f t="shared" si="4"/>
        <v>18335</v>
      </c>
      <c r="H708" s="94"/>
      <c r="I708" s="94"/>
      <c r="J708" s="94"/>
      <c r="K708" s="94"/>
    </row>
    <row r="709" ht="22.5" customHeight="1">
      <c r="A709" s="37">
        <v>707.0</v>
      </c>
      <c r="B709" s="207" t="s">
        <v>686</v>
      </c>
      <c r="C709" s="208"/>
      <c r="D709" s="209">
        <v>45979.0</v>
      </c>
      <c r="E709" s="210">
        <v>178500.0</v>
      </c>
      <c r="F709" s="208"/>
      <c r="G709" s="210">
        <f t="shared" si="4"/>
        <v>178500</v>
      </c>
      <c r="H709" s="94"/>
      <c r="I709" s="94"/>
      <c r="J709" s="94"/>
      <c r="K709" s="94"/>
    </row>
    <row r="710" ht="22.5" customHeight="1">
      <c r="A710" s="55">
        <v>708.0</v>
      </c>
      <c r="B710" s="211" t="s">
        <v>849</v>
      </c>
      <c r="C710" s="190"/>
      <c r="D710" s="212">
        <v>45979.0</v>
      </c>
      <c r="E710" s="213">
        <v>20754.0</v>
      </c>
      <c r="F710" s="190"/>
      <c r="G710" s="213">
        <f t="shared" si="4"/>
        <v>20754</v>
      </c>
      <c r="H710" s="94"/>
      <c r="I710" s="94"/>
      <c r="J710" s="94"/>
      <c r="K710" s="94"/>
    </row>
    <row r="711" ht="22.5" customHeight="1">
      <c r="A711" s="37">
        <v>709.0</v>
      </c>
      <c r="B711" s="207" t="s">
        <v>850</v>
      </c>
      <c r="C711" s="208"/>
      <c r="D711" s="209">
        <v>45979.0</v>
      </c>
      <c r="E711" s="210">
        <v>8060.0</v>
      </c>
      <c r="F711" s="208"/>
      <c r="G711" s="210">
        <f t="shared" si="4"/>
        <v>8060</v>
      </c>
      <c r="H711" s="94"/>
      <c r="I711" s="94"/>
      <c r="J711" s="94"/>
      <c r="K711" s="94"/>
    </row>
    <row r="712" ht="22.5" customHeight="1">
      <c r="A712" s="55">
        <v>710.0</v>
      </c>
      <c r="B712" s="211" t="s">
        <v>142</v>
      </c>
      <c r="C712" s="190"/>
      <c r="D712" s="212">
        <v>45979.0</v>
      </c>
      <c r="E712" s="213">
        <v>29650.0</v>
      </c>
      <c r="F712" s="190"/>
      <c r="G712" s="213">
        <f t="shared" si="4"/>
        <v>29650</v>
      </c>
      <c r="H712" s="94"/>
      <c r="I712" s="94"/>
      <c r="J712" s="94"/>
      <c r="K712" s="94"/>
    </row>
    <row r="713" ht="22.5" customHeight="1">
      <c r="A713" s="37">
        <v>711.0</v>
      </c>
      <c r="B713" s="207" t="s">
        <v>851</v>
      </c>
      <c r="C713" s="208"/>
      <c r="D713" s="209">
        <v>45979.0</v>
      </c>
      <c r="E713" s="210">
        <v>23600.0</v>
      </c>
      <c r="F713" s="208"/>
      <c r="G713" s="210">
        <f t="shared" si="4"/>
        <v>23600</v>
      </c>
      <c r="H713" s="94"/>
      <c r="I713" s="94"/>
      <c r="J713" s="94"/>
      <c r="K713" s="94"/>
    </row>
    <row r="714" ht="22.5" customHeight="1">
      <c r="A714" s="55">
        <v>712.0</v>
      </c>
      <c r="B714" s="211" t="s">
        <v>706</v>
      </c>
      <c r="C714" s="190"/>
      <c r="D714" s="212">
        <v>45979.0</v>
      </c>
      <c r="E714" s="213">
        <v>3905.0</v>
      </c>
      <c r="F714" s="190"/>
      <c r="G714" s="213">
        <f t="shared" si="4"/>
        <v>3905</v>
      </c>
      <c r="H714" s="94"/>
      <c r="I714" s="94"/>
      <c r="J714" s="94"/>
      <c r="K714" s="94"/>
    </row>
    <row r="715" ht="22.5" customHeight="1">
      <c r="A715" s="37">
        <v>713.0</v>
      </c>
      <c r="B715" s="207" t="s">
        <v>225</v>
      </c>
      <c r="C715" s="208"/>
      <c r="D715" s="209">
        <v>45979.0</v>
      </c>
      <c r="E715" s="210">
        <v>49700.0</v>
      </c>
      <c r="F715" s="208"/>
      <c r="G715" s="210">
        <f t="shared" si="4"/>
        <v>49700</v>
      </c>
      <c r="H715" s="94"/>
      <c r="I715" s="94"/>
      <c r="J715" s="94"/>
      <c r="K715" s="94"/>
    </row>
    <row r="716" ht="22.5" customHeight="1">
      <c r="A716" s="55">
        <v>714.0</v>
      </c>
      <c r="B716" s="211" t="s">
        <v>724</v>
      </c>
      <c r="C716" s="190"/>
      <c r="D716" s="212">
        <v>45981.0</v>
      </c>
      <c r="E716" s="213">
        <v>3688.0</v>
      </c>
      <c r="F716" s="190"/>
      <c r="G716" s="213">
        <f t="shared" si="4"/>
        <v>3688</v>
      </c>
      <c r="H716" s="94"/>
      <c r="I716" s="94"/>
      <c r="J716" s="94"/>
      <c r="K716" s="94"/>
    </row>
    <row r="717" ht="22.5" customHeight="1">
      <c r="A717" s="37">
        <v>715.0</v>
      </c>
      <c r="B717" s="207" t="s">
        <v>852</v>
      </c>
      <c r="C717" s="208"/>
      <c r="D717" s="209">
        <v>45981.0</v>
      </c>
      <c r="E717" s="210">
        <v>27880.0</v>
      </c>
      <c r="F717" s="208"/>
      <c r="G717" s="210">
        <f t="shared" si="4"/>
        <v>27880</v>
      </c>
      <c r="H717" s="94"/>
      <c r="I717" s="94"/>
      <c r="J717" s="94"/>
      <c r="K717" s="94"/>
    </row>
    <row r="718" ht="22.5" customHeight="1">
      <c r="A718" s="55">
        <v>716.0</v>
      </c>
      <c r="B718" s="211" t="s">
        <v>762</v>
      </c>
      <c r="C718" s="190"/>
      <c r="D718" s="212">
        <v>45981.0</v>
      </c>
      <c r="E718" s="213">
        <v>16851.0</v>
      </c>
      <c r="F718" s="190"/>
      <c r="G718" s="213">
        <f t="shared" si="4"/>
        <v>16851</v>
      </c>
      <c r="H718" s="94"/>
      <c r="I718" s="94"/>
      <c r="J718" s="94"/>
      <c r="K718" s="94"/>
    </row>
    <row r="719" ht="22.5" customHeight="1">
      <c r="A719" s="37">
        <v>717.0</v>
      </c>
      <c r="B719" s="207" t="s">
        <v>853</v>
      </c>
      <c r="C719" s="208"/>
      <c r="D719" s="209">
        <v>45981.0</v>
      </c>
      <c r="E719" s="210">
        <v>2519.0</v>
      </c>
      <c r="F719" s="208"/>
      <c r="G719" s="210">
        <f t="shared" si="4"/>
        <v>2519</v>
      </c>
      <c r="H719" s="94"/>
      <c r="I719" s="94"/>
      <c r="J719" s="94"/>
      <c r="K719" s="94"/>
    </row>
    <row r="720" ht="22.5" customHeight="1">
      <c r="A720" s="55">
        <v>718.0</v>
      </c>
      <c r="B720" s="211" t="s">
        <v>765</v>
      </c>
      <c r="C720" s="190"/>
      <c r="D720" s="212">
        <v>45981.0</v>
      </c>
      <c r="E720" s="213">
        <v>2557.0</v>
      </c>
      <c r="F720" s="190"/>
      <c r="G720" s="213">
        <f t="shared" si="4"/>
        <v>2557</v>
      </c>
      <c r="H720" s="94"/>
      <c r="I720" s="94"/>
      <c r="J720" s="94"/>
      <c r="K720" s="94"/>
    </row>
    <row r="721" ht="22.5" customHeight="1">
      <c r="A721" s="37">
        <v>719.0</v>
      </c>
      <c r="B721" s="207" t="s">
        <v>88</v>
      </c>
      <c r="C721" s="208"/>
      <c r="D721" s="209">
        <v>45981.0</v>
      </c>
      <c r="E721" s="210">
        <v>37870.0</v>
      </c>
      <c r="F721" s="208"/>
      <c r="G721" s="210">
        <f t="shared" si="4"/>
        <v>37870</v>
      </c>
      <c r="H721" s="94"/>
      <c r="I721" s="94"/>
      <c r="J721" s="94"/>
      <c r="K721" s="94"/>
    </row>
    <row r="722" ht="22.5" customHeight="1">
      <c r="A722" s="55">
        <v>720.0</v>
      </c>
      <c r="B722" s="211" t="s">
        <v>854</v>
      </c>
      <c r="C722" s="190"/>
      <c r="D722" s="212">
        <v>45981.0</v>
      </c>
      <c r="E722" s="213">
        <v>12000.0</v>
      </c>
      <c r="F722" s="190"/>
      <c r="G722" s="213">
        <f t="shared" si="4"/>
        <v>12000</v>
      </c>
      <c r="H722" s="94"/>
      <c r="I722" s="94"/>
      <c r="J722" s="94"/>
      <c r="K722" s="94"/>
    </row>
    <row r="723" ht="22.5" customHeight="1">
      <c r="A723" s="37">
        <v>721.0</v>
      </c>
      <c r="B723" s="207" t="s">
        <v>842</v>
      </c>
      <c r="C723" s="208"/>
      <c r="D723" s="209">
        <v>45982.0</v>
      </c>
      <c r="E723" s="210">
        <v>145000.0</v>
      </c>
      <c r="F723" s="208"/>
      <c r="G723" s="210">
        <f t="shared" si="4"/>
        <v>145000</v>
      </c>
      <c r="H723" s="94"/>
      <c r="I723" s="94"/>
      <c r="J723" s="94"/>
      <c r="K723" s="94"/>
    </row>
    <row r="724" ht="22.5" customHeight="1">
      <c r="A724" s="55">
        <v>722.0</v>
      </c>
      <c r="B724" s="211" t="s">
        <v>784</v>
      </c>
      <c r="C724" s="190"/>
      <c r="D724" s="212">
        <v>45982.0</v>
      </c>
      <c r="E724" s="213">
        <v>11094.58</v>
      </c>
      <c r="F724" s="190"/>
      <c r="G724" s="213">
        <f t="shared" si="4"/>
        <v>11094.58</v>
      </c>
      <c r="H724" s="94"/>
      <c r="I724" s="94"/>
      <c r="J724" s="94"/>
      <c r="K724" s="94"/>
    </row>
    <row r="725" ht="22.5" customHeight="1">
      <c r="A725" s="37">
        <v>723.0</v>
      </c>
      <c r="B725" s="207" t="s">
        <v>855</v>
      </c>
      <c r="C725" s="208"/>
      <c r="D725" s="209">
        <v>45983.0</v>
      </c>
      <c r="E725" s="210">
        <v>1642.0</v>
      </c>
      <c r="F725" s="208"/>
      <c r="G725" s="210">
        <f t="shared" si="4"/>
        <v>1642</v>
      </c>
      <c r="H725" s="94"/>
      <c r="I725" s="94"/>
      <c r="J725" s="94"/>
      <c r="K725" s="94"/>
    </row>
    <row r="726" ht="22.5" customHeight="1">
      <c r="A726" s="55">
        <v>724.0</v>
      </c>
      <c r="B726" s="211" t="s">
        <v>855</v>
      </c>
      <c r="C726" s="190"/>
      <c r="D726" s="212">
        <v>45984.0</v>
      </c>
      <c r="E726" s="213">
        <v>2052.94</v>
      </c>
      <c r="F726" s="190"/>
      <c r="G726" s="213">
        <f t="shared" si="4"/>
        <v>2052.94</v>
      </c>
      <c r="H726" s="94"/>
      <c r="I726" s="94"/>
      <c r="J726" s="94"/>
      <c r="K726" s="94"/>
    </row>
    <row r="727" ht="22.5" customHeight="1">
      <c r="A727" s="37">
        <v>725.0</v>
      </c>
      <c r="B727" s="207" t="s">
        <v>856</v>
      </c>
      <c r="C727" s="208"/>
      <c r="D727" s="209">
        <v>45985.0</v>
      </c>
      <c r="E727" s="210">
        <v>6000.0</v>
      </c>
      <c r="F727" s="208"/>
      <c r="G727" s="210">
        <f t="shared" si="4"/>
        <v>6000</v>
      </c>
      <c r="H727" s="94"/>
      <c r="I727" s="94"/>
      <c r="J727" s="94"/>
      <c r="K727" s="94"/>
    </row>
    <row r="728" ht="22.5" customHeight="1">
      <c r="A728" s="55">
        <v>726.0</v>
      </c>
      <c r="B728" s="211" t="s">
        <v>857</v>
      </c>
      <c r="C728" s="190"/>
      <c r="D728" s="212">
        <v>45985.0</v>
      </c>
      <c r="E728" s="213">
        <v>16500.0</v>
      </c>
      <c r="F728" s="190"/>
      <c r="G728" s="213">
        <f t="shared" si="4"/>
        <v>16500</v>
      </c>
      <c r="H728" s="94"/>
      <c r="I728" s="94"/>
      <c r="J728" s="94"/>
      <c r="K728" s="94"/>
    </row>
    <row r="729" ht="22.5" customHeight="1">
      <c r="A729" s="37">
        <v>727.0</v>
      </c>
      <c r="B729" s="207" t="s">
        <v>858</v>
      </c>
      <c r="C729" s="208"/>
      <c r="D729" s="209">
        <v>45986.0</v>
      </c>
      <c r="E729" s="210">
        <v>2785.45</v>
      </c>
      <c r="F729" s="208"/>
      <c r="G729" s="210">
        <f t="shared" si="4"/>
        <v>2785.45</v>
      </c>
      <c r="H729" s="94"/>
      <c r="I729" s="94"/>
      <c r="J729" s="94"/>
      <c r="K729" s="94"/>
    </row>
    <row r="730" ht="22.5" customHeight="1">
      <c r="A730" s="55">
        <v>728.0</v>
      </c>
      <c r="B730" s="211" t="s">
        <v>762</v>
      </c>
      <c r="C730" s="190"/>
      <c r="D730" s="212">
        <v>45986.0</v>
      </c>
      <c r="E730" s="213">
        <v>4555.0</v>
      </c>
      <c r="F730" s="190"/>
      <c r="G730" s="213">
        <f t="shared" si="4"/>
        <v>4555</v>
      </c>
      <c r="H730" s="94"/>
      <c r="I730" s="94"/>
      <c r="J730" s="94"/>
      <c r="K730" s="94"/>
    </row>
    <row r="731" ht="22.5" customHeight="1">
      <c r="A731" s="37">
        <v>729.0</v>
      </c>
      <c r="B731" s="207" t="s">
        <v>859</v>
      </c>
      <c r="C731" s="208"/>
      <c r="D731" s="209">
        <v>45986.0</v>
      </c>
      <c r="E731" s="210">
        <v>5000.0</v>
      </c>
      <c r="F731" s="208"/>
      <c r="G731" s="210">
        <f t="shared" si="4"/>
        <v>5000</v>
      </c>
      <c r="H731" s="94"/>
      <c r="I731" s="94"/>
      <c r="J731" s="94"/>
      <c r="K731" s="94"/>
    </row>
    <row r="732" ht="22.5" customHeight="1">
      <c r="A732" s="55">
        <v>730.0</v>
      </c>
      <c r="B732" s="211" t="s">
        <v>142</v>
      </c>
      <c r="C732" s="190"/>
      <c r="D732" s="212">
        <v>45986.0</v>
      </c>
      <c r="E732" s="213">
        <v>50000.0</v>
      </c>
      <c r="F732" s="190"/>
      <c r="G732" s="213">
        <f t="shared" si="4"/>
        <v>50000</v>
      </c>
      <c r="H732" s="94"/>
      <c r="I732" s="94"/>
      <c r="J732" s="94"/>
      <c r="K732" s="94"/>
    </row>
    <row r="733" ht="22.5" customHeight="1">
      <c r="A733" s="37">
        <v>731.0</v>
      </c>
      <c r="B733" s="207" t="s">
        <v>53</v>
      </c>
      <c r="C733" s="208"/>
      <c r="D733" s="209">
        <v>45986.0</v>
      </c>
      <c r="E733" s="215">
        <v>994542.0</v>
      </c>
      <c r="F733" s="216"/>
      <c r="G733" s="210">
        <f t="shared" si="4"/>
        <v>994542</v>
      </c>
      <c r="H733" s="94"/>
      <c r="I733" s="94"/>
      <c r="J733" s="94"/>
      <c r="K733" s="94"/>
    </row>
    <row r="734" ht="22.5" customHeight="1">
      <c r="A734" s="55">
        <v>732.0</v>
      </c>
      <c r="B734" s="211" t="s">
        <v>855</v>
      </c>
      <c r="C734" s="190"/>
      <c r="D734" s="217">
        <v>45987.0</v>
      </c>
      <c r="E734" s="218">
        <v>1516.68</v>
      </c>
      <c r="F734" s="219"/>
      <c r="G734" s="213">
        <f t="shared" si="4"/>
        <v>1516.68</v>
      </c>
      <c r="H734" s="94"/>
      <c r="I734" s="94"/>
      <c r="J734" s="94"/>
      <c r="K734" s="94"/>
    </row>
    <row r="735" ht="22.5" customHeight="1">
      <c r="A735" s="37">
        <v>733.0</v>
      </c>
      <c r="B735" s="207" t="s">
        <v>855</v>
      </c>
      <c r="C735" s="208"/>
      <c r="D735" s="220">
        <v>45988.0</v>
      </c>
      <c r="E735" s="215">
        <v>1028.08</v>
      </c>
      <c r="F735" s="216"/>
      <c r="G735" s="210">
        <f t="shared" si="4"/>
        <v>1028.08</v>
      </c>
      <c r="H735" s="94"/>
      <c r="I735" s="94"/>
      <c r="J735" s="94"/>
      <c r="K735" s="94"/>
    </row>
    <row r="736" ht="22.5" customHeight="1">
      <c r="A736" s="55">
        <v>734.0</v>
      </c>
      <c r="B736" s="211" t="s">
        <v>860</v>
      </c>
      <c r="C736" s="190"/>
      <c r="D736" s="217">
        <v>45988.0</v>
      </c>
      <c r="E736" s="218">
        <v>10300.0</v>
      </c>
      <c r="F736" s="219"/>
      <c r="G736" s="213">
        <f t="shared" si="4"/>
        <v>10300</v>
      </c>
      <c r="H736" s="94"/>
      <c r="I736" s="94"/>
      <c r="J736" s="94"/>
      <c r="K736" s="94"/>
    </row>
    <row r="737" ht="22.5" customHeight="1">
      <c r="A737" s="37">
        <v>735.0</v>
      </c>
      <c r="B737" s="221" t="s">
        <v>861</v>
      </c>
      <c r="C737" s="208"/>
      <c r="D737" s="220">
        <v>45988.0</v>
      </c>
      <c r="E737" s="215">
        <v>12002.0</v>
      </c>
      <c r="F737" s="216"/>
      <c r="G737" s="210">
        <f t="shared" si="4"/>
        <v>12002</v>
      </c>
    </row>
    <row r="738" ht="22.5" customHeight="1">
      <c r="A738" s="55">
        <v>736.0</v>
      </c>
      <c r="B738" s="214" t="s">
        <v>862</v>
      </c>
      <c r="C738" s="190"/>
      <c r="D738" s="217">
        <v>45988.0</v>
      </c>
      <c r="E738" s="218">
        <v>11000.0</v>
      </c>
      <c r="F738" s="219"/>
      <c r="G738" s="213">
        <f t="shared" si="4"/>
        <v>11000</v>
      </c>
      <c r="H738" s="94"/>
      <c r="I738" s="94"/>
      <c r="J738" s="94"/>
      <c r="K738" s="94"/>
    </row>
    <row r="739" ht="22.5" customHeight="1">
      <c r="A739" s="37">
        <v>737.0</v>
      </c>
      <c r="B739" s="221" t="s">
        <v>863</v>
      </c>
      <c r="C739" s="208"/>
      <c r="D739" s="220">
        <v>45988.0</v>
      </c>
      <c r="E739" s="215">
        <v>12980.0</v>
      </c>
      <c r="F739" s="216"/>
      <c r="G739" s="210">
        <f t="shared" si="4"/>
        <v>12980</v>
      </c>
      <c r="H739" s="94"/>
      <c r="I739" s="94"/>
      <c r="J739" s="94"/>
      <c r="K739" s="94"/>
    </row>
    <row r="740" ht="22.5" customHeight="1">
      <c r="A740" s="55">
        <v>738.0</v>
      </c>
      <c r="B740" s="214" t="s">
        <v>864</v>
      </c>
      <c r="C740" s="190"/>
      <c r="D740" s="217">
        <v>45988.0</v>
      </c>
      <c r="E740" s="218">
        <v>12891.0</v>
      </c>
      <c r="F740" s="219"/>
      <c r="G740" s="213">
        <f t="shared" si="4"/>
        <v>12891</v>
      </c>
      <c r="H740" s="94"/>
      <c r="I740" s="94"/>
      <c r="J740" s="94"/>
      <c r="K740" s="94"/>
    </row>
    <row r="741" ht="22.5" customHeight="1">
      <c r="A741" s="37">
        <v>739.0</v>
      </c>
      <c r="B741" s="221" t="s">
        <v>865</v>
      </c>
      <c r="C741" s="208"/>
      <c r="D741" s="220">
        <v>45988.0</v>
      </c>
      <c r="E741" s="215">
        <v>5000.0</v>
      </c>
      <c r="F741" s="216"/>
      <c r="G741" s="210">
        <f t="shared" si="4"/>
        <v>5000</v>
      </c>
      <c r="H741" s="94"/>
      <c r="I741" s="94"/>
      <c r="J741" s="94"/>
      <c r="K741" s="94"/>
    </row>
    <row r="742" ht="22.5" customHeight="1">
      <c r="A742" s="55">
        <v>740.0</v>
      </c>
      <c r="B742" s="214" t="s">
        <v>866</v>
      </c>
      <c r="C742" s="190"/>
      <c r="D742" s="217">
        <v>45988.0</v>
      </c>
      <c r="E742" s="218">
        <v>13800.0</v>
      </c>
      <c r="F742" s="219"/>
      <c r="G742" s="213">
        <f t="shared" si="4"/>
        <v>13800</v>
      </c>
      <c r="H742" s="94"/>
      <c r="I742" s="94"/>
      <c r="J742" s="94"/>
      <c r="K742" s="94"/>
    </row>
    <row r="743" ht="22.5" customHeight="1">
      <c r="A743" s="37">
        <v>741.0</v>
      </c>
      <c r="B743" s="221" t="s">
        <v>867</v>
      </c>
      <c r="C743" s="208"/>
      <c r="D743" s="220">
        <v>45988.0</v>
      </c>
      <c r="E743" s="215">
        <v>12000.0</v>
      </c>
      <c r="F743" s="216"/>
      <c r="G743" s="210">
        <f t="shared" si="4"/>
        <v>12000</v>
      </c>
      <c r="H743" s="94"/>
      <c r="I743" s="94"/>
      <c r="J743" s="94"/>
      <c r="K743" s="94"/>
    </row>
    <row r="744" ht="22.5" customHeight="1">
      <c r="A744" s="55">
        <v>742.0</v>
      </c>
      <c r="B744" s="214" t="s">
        <v>868</v>
      </c>
      <c r="C744" s="190"/>
      <c r="D744" s="217">
        <v>45988.0</v>
      </c>
      <c r="E744" s="218">
        <v>7000.0</v>
      </c>
      <c r="F744" s="219"/>
      <c r="G744" s="213">
        <f t="shared" si="4"/>
        <v>7000</v>
      </c>
      <c r="H744" s="94"/>
      <c r="I744" s="94"/>
      <c r="J744" s="94"/>
      <c r="K744" s="94"/>
    </row>
    <row r="745" ht="22.5" customHeight="1">
      <c r="A745" s="37">
        <v>743.0</v>
      </c>
      <c r="B745" s="221" t="s">
        <v>774</v>
      </c>
      <c r="C745" s="208"/>
      <c r="D745" s="220">
        <v>45988.0</v>
      </c>
      <c r="E745" s="215">
        <v>21000.0</v>
      </c>
      <c r="F745" s="216"/>
      <c r="G745" s="210">
        <f t="shared" si="4"/>
        <v>21000</v>
      </c>
      <c r="H745" s="94"/>
      <c r="I745" s="94"/>
      <c r="J745" s="94"/>
      <c r="K745" s="94"/>
    </row>
    <row r="746" ht="22.5" customHeight="1">
      <c r="A746" s="55">
        <v>744.0</v>
      </c>
      <c r="B746" s="214" t="s">
        <v>36</v>
      </c>
      <c r="C746" s="190"/>
      <c r="D746" s="217">
        <v>45988.0</v>
      </c>
      <c r="E746" s="218">
        <v>38535.0</v>
      </c>
      <c r="F746" s="219"/>
      <c r="G746" s="213">
        <f t="shared" si="4"/>
        <v>38535</v>
      </c>
      <c r="H746" s="94"/>
      <c r="I746" s="94"/>
      <c r="J746" s="94"/>
      <c r="K746" s="94"/>
    </row>
    <row r="747" ht="22.5" customHeight="1">
      <c r="A747" s="37">
        <v>745.0</v>
      </c>
      <c r="B747" s="221" t="s">
        <v>41</v>
      </c>
      <c r="C747" s="208"/>
      <c r="D747" s="220">
        <v>45988.0</v>
      </c>
      <c r="E747" s="215">
        <v>25020.0</v>
      </c>
      <c r="F747" s="216"/>
      <c r="G747" s="210">
        <f t="shared" si="4"/>
        <v>25020</v>
      </c>
      <c r="H747" s="94"/>
      <c r="I747" s="94"/>
      <c r="J747" s="94"/>
      <c r="K747" s="94"/>
    </row>
    <row r="748" ht="22.5" customHeight="1">
      <c r="A748" s="55">
        <v>746.0</v>
      </c>
      <c r="B748" s="214" t="s">
        <v>869</v>
      </c>
      <c r="C748" s="190"/>
      <c r="D748" s="217">
        <v>45988.0</v>
      </c>
      <c r="E748" s="218">
        <v>52200.0</v>
      </c>
      <c r="F748" s="219"/>
      <c r="G748" s="213">
        <f t="shared" si="4"/>
        <v>52200</v>
      </c>
      <c r="H748" s="94"/>
      <c r="I748" s="94"/>
      <c r="J748" s="94"/>
      <c r="K748" s="94"/>
    </row>
    <row r="749" ht="22.5" customHeight="1">
      <c r="A749" s="37">
        <v>747.0</v>
      </c>
      <c r="B749" s="221" t="s">
        <v>870</v>
      </c>
      <c r="C749" s="208"/>
      <c r="D749" s="220">
        <v>45989.0</v>
      </c>
      <c r="E749" s="215">
        <v>94.12</v>
      </c>
      <c r="F749" s="216"/>
      <c r="G749" s="210">
        <f t="shared" si="4"/>
        <v>94.12</v>
      </c>
      <c r="H749" s="94"/>
      <c r="I749" s="94"/>
      <c r="J749" s="94"/>
      <c r="K749" s="94"/>
    </row>
    <row r="750" ht="22.5" customHeight="1">
      <c r="A750" s="55">
        <v>748.0</v>
      </c>
      <c r="B750" s="214" t="s">
        <v>109</v>
      </c>
      <c r="C750" s="190"/>
      <c r="D750" s="217">
        <v>45990.0</v>
      </c>
      <c r="E750" s="218">
        <v>50000.0</v>
      </c>
      <c r="F750" s="219"/>
      <c r="G750" s="213">
        <f t="shared" si="4"/>
        <v>50000</v>
      </c>
      <c r="H750" s="94"/>
      <c r="I750" s="94"/>
      <c r="J750" s="94"/>
      <c r="K750" s="94"/>
    </row>
    <row r="751" ht="22.5" customHeight="1">
      <c r="A751" s="37">
        <v>749.0</v>
      </c>
      <c r="B751" s="221" t="s">
        <v>109</v>
      </c>
      <c r="C751" s="208"/>
      <c r="D751" s="220">
        <v>45990.0</v>
      </c>
      <c r="E751" s="215">
        <v>38187.0</v>
      </c>
      <c r="F751" s="216"/>
      <c r="G751" s="210">
        <f t="shared" si="4"/>
        <v>38187</v>
      </c>
      <c r="H751" s="94"/>
      <c r="I751" s="94"/>
      <c r="J751" s="94"/>
      <c r="K751" s="94"/>
    </row>
    <row r="752" ht="22.5" customHeight="1">
      <c r="A752" s="55">
        <v>750.0</v>
      </c>
      <c r="B752" s="214" t="s">
        <v>109</v>
      </c>
      <c r="C752" s="190"/>
      <c r="D752" s="217">
        <v>45990.0</v>
      </c>
      <c r="E752" s="218">
        <v>20791.88</v>
      </c>
      <c r="F752" s="219"/>
      <c r="G752" s="213">
        <f t="shared" si="4"/>
        <v>20791.88</v>
      </c>
      <c r="H752" s="94"/>
      <c r="I752" s="94"/>
      <c r="J752" s="94"/>
      <c r="K752" s="94"/>
    </row>
    <row r="753" ht="22.5" customHeight="1">
      <c r="A753" s="37">
        <v>751.0</v>
      </c>
      <c r="B753" s="221" t="s">
        <v>109</v>
      </c>
      <c r="C753" s="208"/>
      <c r="D753" s="220">
        <v>45990.0</v>
      </c>
      <c r="E753" s="215">
        <v>9575.26</v>
      </c>
      <c r="F753" s="216"/>
      <c r="G753" s="210">
        <f t="shared" si="4"/>
        <v>9575.26</v>
      </c>
      <c r="H753" s="94"/>
      <c r="I753" s="94"/>
      <c r="J753" s="94"/>
      <c r="K753" s="94"/>
    </row>
    <row r="754" ht="22.5" customHeight="1">
      <c r="A754" s="55">
        <v>752.0</v>
      </c>
      <c r="B754" s="214" t="s">
        <v>109</v>
      </c>
      <c r="C754" s="190"/>
      <c r="D754" s="217">
        <v>45990.0</v>
      </c>
      <c r="E754" s="218">
        <v>2216.0</v>
      </c>
      <c r="F754" s="219"/>
      <c r="G754" s="213">
        <f t="shared" si="4"/>
        <v>2216</v>
      </c>
      <c r="H754" s="94"/>
      <c r="I754" s="94"/>
      <c r="J754" s="94"/>
      <c r="K754" s="94"/>
    </row>
    <row r="755" ht="22.5" customHeight="1">
      <c r="A755" s="37">
        <v>753.0</v>
      </c>
      <c r="B755" s="221" t="s">
        <v>109</v>
      </c>
      <c r="C755" s="208"/>
      <c r="D755" s="220">
        <v>45990.0</v>
      </c>
      <c r="E755" s="215">
        <v>7660.0</v>
      </c>
      <c r="F755" s="216"/>
      <c r="G755" s="210">
        <f t="shared" si="4"/>
        <v>7660</v>
      </c>
      <c r="H755" s="94"/>
      <c r="I755" s="94"/>
      <c r="J755" s="94"/>
      <c r="K755" s="94"/>
    </row>
    <row r="756" ht="22.5" customHeight="1">
      <c r="A756" s="55">
        <v>754.0</v>
      </c>
      <c r="B756" s="214" t="s">
        <v>109</v>
      </c>
      <c r="C756" s="190"/>
      <c r="D756" s="217">
        <v>45990.0</v>
      </c>
      <c r="E756" s="218">
        <v>4817.2</v>
      </c>
      <c r="F756" s="219"/>
      <c r="G756" s="213">
        <f t="shared" si="4"/>
        <v>4817.2</v>
      </c>
      <c r="H756" s="94"/>
      <c r="I756" s="94"/>
      <c r="J756" s="94"/>
      <c r="K756" s="94"/>
    </row>
    <row r="757" ht="22.5" customHeight="1">
      <c r="A757" s="37">
        <v>755.0</v>
      </c>
      <c r="B757" s="221" t="s">
        <v>142</v>
      </c>
      <c r="C757" s="208"/>
      <c r="D757" s="220">
        <v>45990.0</v>
      </c>
      <c r="E757" s="215">
        <v>50000.0</v>
      </c>
      <c r="F757" s="216"/>
      <c r="G757" s="210">
        <f t="shared" si="4"/>
        <v>50000</v>
      </c>
      <c r="H757" s="94"/>
      <c r="I757" s="94"/>
      <c r="J757" s="94"/>
      <c r="K757" s="94"/>
    </row>
    <row r="758" ht="22.5" customHeight="1">
      <c r="A758" s="55">
        <v>756.0</v>
      </c>
      <c r="B758" s="214" t="s">
        <v>225</v>
      </c>
      <c r="C758" s="190"/>
      <c r="D758" s="217">
        <v>45990.0</v>
      </c>
      <c r="E758" s="218">
        <v>40267.0</v>
      </c>
      <c r="F758" s="219"/>
      <c r="G758" s="213">
        <f t="shared" si="4"/>
        <v>40267</v>
      </c>
      <c r="H758" s="94"/>
      <c r="I758" s="94"/>
      <c r="J758" s="94"/>
      <c r="K758" s="94"/>
    </row>
    <row r="759" ht="22.5" customHeight="1">
      <c r="A759" s="37">
        <v>757.0</v>
      </c>
      <c r="B759" s="221" t="s">
        <v>686</v>
      </c>
      <c r="C759" s="208"/>
      <c r="D759" s="220">
        <v>45990.0</v>
      </c>
      <c r="E759" s="215">
        <v>134781.0</v>
      </c>
      <c r="F759" s="216"/>
      <c r="G759" s="210">
        <f t="shared" si="4"/>
        <v>134781</v>
      </c>
      <c r="H759" s="94"/>
      <c r="I759" s="94"/>
      <c r="J759" s="94"/>
      <c r="K759" s="94"/>
    </row>
    <row r="760" ht="22.5" customHeight="1">
      <c r="A760" s="55">
        <v>758.0</v>
      </c>
      <c r="B760" s="214" t="s">
        <v>673</v>
      </c>
      <c r="C760" s="190"/>
      <c r="D760" s="217">
        <v>45990.0</v>
      </c>
      <c r="E760" s="218">
        <v>47200.0</v>
      </c>
      <c r="F760" s="219"/>
      <c r="G760" s="213">
        <f t="shared" si="4"/>
        <v>47200</v>
      </c>
      <c r="H760" s="94"/>
      <c r="I760" s="94"/>
      <c r="J760" s="94"/>
      <c r="K760" s="94"/>
    </row>
    <row r="761" ht="22.5" customHeight="1">
      <c r="A761" s="37">
        <v>759.0</v>
      </c>
      <c r="B761" s="221" t="s">
        <v>871</v>
      </c>
      <c r="C761" s="208"/>
      <c r="D761" s="220">
        <v>45990.0</v>
      </c>
      <c r="E761" s="215">
        <v>30000.0</v>
      </c>
      <c r="F761" s="216"/>
      <c r="G761" s="210">
        <f t="shared" si="4"/>
        <v>30000</v>
      </c>
      <c r="H761" s="94"/>
      <c r="I761" s="94"/>
      <c r="J761" s="94"/>
      <c r="K761" s="94"/>
    </row>
    <row r="762" ht="22.5" customHeight="1">
      <c r="A762" s="55">
        <v>760.0</v>
      </c>
      <c r="B762" s="214" t="s">
        <v>872</v>
      </c>
      <c r="C762" s="190"/>
      <c r="D762" s="217">
        <v>45990.0</v>
      </c>
      <c r="E762" s="218">
        <v>57477.0</v>
      </c>
      <c r="F762" s="219"/>
      <c r="G762" s="213">
        <f t="shared" si="4"/>
        <v>57477</v>
      </c>
      <c r="H762" s="94"/>
      <c r="I762" s="94"/>
      <c r="J762" s="94"/>
      <c r="K762" s="94"/>
    </row>
    <row r="763" ht="22.5" customHeight="1">
      <c r="A763" s="37">
        <v>761.0</v>
      </c>
      <c r="B763" s="221" t="s">
        <v>873</v>
      </c>
      <c r="C763" s="208"/>
      <c r="D763" s="220">
        <v>45990.0</v>
      </c>
      <c r="E763" s="215">
        <v>12000.0</v>
      </c>
      <c r="F763" s="216"/>
      <c r="G763" s="210">
        <f t="shared" si="4"/>
        <v>12000</v>
      </c>
      <c r="H763" s="94"/>
      <c r="I763" s="94"/>
      <c r="J763" s="94"/>
      <c r="K763" s="94"/>
    </row>
    <row r="764" ht="22.5" customHeight="1">
      <c r="A764" s="55">
        <v>762.0</v>
      </c>
      <c r="B764" s="214" t="s">
        <v>874</v>
      </c>
      <c r="C764" s="190"/>
      <c r="D764" s="217">
        <v>45990.0</v>
      </c>
      <c r="E764" s="218">
        <v>8500.0</v>
      </c>
      <c r="F764" s="219"/>
      <c r="G764" s="213">
        <f t="shared" si="4"/>
        <v>8500</v>
      </c>
      <c r="H764" s="94"/>
      <c r="I764" s="94"/>
      <c r="J764" s="94"/>
      <c r="K764" s="94"/>
    </row>
    <row r="765" ht="22.5" customHeight="1">
      <c r="A765" s="37">
        <v>763.0</v>
      </c>
      <c r="B765" s="221" t="s">
        <v>875</v>
      </c>
      <c r="C765" s="208"/>
      <c r="D765" s="220">
        <v>45990.0</v>
      </c>
      <c r="E765" s="215">
        <v>8500.0</v>
      </c>
      <c r="F765" s="216"/>
      <c r="G765" s="210">
        <f t="shared" si="4"/>
        <v>8500</v>
      </c>
      <c r="H765" s="94"/>
      <c r="I765" s="94"/>
      <c r="J765" s="94"/>
      <c r="K765" s="94"/>
    </row>
    <row r="766" ht="22.5" customHeight="1">
      <c r="A766" s="55">
        <v>764.0</v>
      </c>
      <c r="B766" s="214" t="s">
        <v>762</v>
      </c>
      <c r="C766" s="190"/>
      <c r="D766" s="217">
        <v>45990.0</v>
      </c>
      <c r="E766" s="218">
        <v>3210.0</v>
      </c>
      <c r="F766" s="219"/>
      <c r="G766" s="213">
        <f t="shared" si="4"/>
        <v>3210</v>
      </c>
      <c r="H766" s="94"/>
      <c r="I766" s="94"/>
      <c r="J766" s="94"/>
      <c r="K766" s="94"/>
    </row>
    <row r="767" ht="22.5" customHeight="1">
      <c r="A767" s="37">
        <v>765.0</v>
      </c>
      <c r="B767" s="221" t="s">
        <v>876</v>
      </c>
      <c r="C767" s="208"/>
      <c r="D767" s="220">
        <v>45990.0</v>
      </c>
      <c r="E767" s="215">
        <v>4289.0</v>
      </c>
      <c r="F767" s="216"/>
      <c r="G767" s="210">
        <f t="shared" si="4"/>
        <v>4289</v>
      </c>
      <c r="H767" s="94"/>
      <c r="I767" s="94"/>
      <c r="J767" s="94"/>
      <c r="K767" s="94"/>
    </row>
    <row r="768" ht="22.5" customHeight="1">
      <c r="A768" s="55">
        <v>766.0</v>
      </c>
      <c r="B768" s="214" t="s">
        <v>877</v>
      </c>
      <c r="C768" s="190"/>
      <c r="D768" s="217">
        <v>45990.0</v>
      </c>
      <c r="E768" s="218">
        <v>15000.0</v>
      </c>
      <c r="F768" s="219"/>
      <c r="G768" s="213">
        <f t="shared" si="4"/>
        <v>15000</v>
      </c>
      <c r="H768" s="94"/>
      <c r="I768" s="94"/>
      <c r="J768" s="94"/>
      <c r="K768" s="94"/>
    </row>
    <row r="769" ht="22.5" customHeight="1">
      <c r="A769" s="37">
        <v>767.0</v>
      </c>
      <c r="B769" s="221" t="s">
        <v>878</v>
      </c>
      <c r="C769" s="208"/>
      <c r="D769" s="220">
        <v>45993.0</v>
      </c>
      <c r="E769" s="215">
        <v>133340.0</v>
      </c>
      <c r="F769" s="216"/>
      <c r="G769" s="210">
        <f t="shared" si="4"/>
        <v>133340</v>
      </c>
      <c r="H769" s="94"/>
      <c r="I769" s="94"/>
      <c r="J769" s="94"/>
      <c r="K769" s="94"/>
    </row>
    <row r="770" ht="22.5" customHeight="1">
      <c r="A770" s="55">
        <v>768.0</v>
      </c>
      <c r="B770" s="214" t="s">
        <v>763</v>
      </c>
      <c r="C770" s="190"/>
      <c r="D770" s="217">
        <v>45993.0</v>
      </c>
      <c r="E770" s="218">
        <v>4250.0</v>
      </c>
      <c r="F770" s="219"/>
      <c r="G770" s="213">
        <f t="shared" si="4"/>
        <v>4250</v>
      </c>
      <c r="H770" s="94"/>
      <c r="I770" s="94"/>
      <c r="J770" s="94"/>
      <c r="K770" s="94"/>
    </row>
    <row r="771" ht="22.5" customHeight="1">
      <c r="A771" s="37">
        <v>769.0</v>
      </c>
      <c r="B771" s="221" t="s">
        <v>362</v>
      </c>
      <c r="C771" s="208"/>
      <c r="D771" s="220">
        <v>45993.0</v>
      </c>
      <c r="E771" s="215">
        <v>96280.0</v>
      </c>
      <c r="F771" s="216"/>
      <c r="G771" s="210">
        <f t="shared" si="4"/>
        <v>96280</v>
      </c>
      <c r="H771" s="94"/>
      <c r="I771" s="94"/>
      <c r="J771" s="94"/>
      <c r="K771" s="94"/>
    </row>
    <row r="772" ht="22.5" customHeight="1">
      <c r="A772" s="55">
        <v>770.0</v>
      </c>
      <c r="B772" s="214" t="s">
        <v>879</v>
      </c>
      <c r="C772" s="190"/>
      <c r="D772" s="217">
        <v>45993.0</v>
      </c>
      <c r="E772" s="218">
        <v>50000.0</v>
      </c>
      <c r="F772" s="219"/>
      <c r="G772" s="213">
        <f t="shared" si="4"/>
        <v>50000</v>
      </c>
      <c r="H772" s="94"/>
      <c r="I772" s="94"/>
      <c r="J772" s="94"/>
      <c r="K772" s="94"/>
    </row>
    <row r="773" ht="22.5" customHeight="1">
      <c r="A773" s="37">
        <v>771.0</v>
      </c>
      <c r="B773" s="221" t="s">
        <v>880</v>
      </c>
      <c r="C773" s="208"/>
      <c r="D773" s="220">
        <v>45995.0</v>
      </c>
      <c r="E773" s="215">
        <v>10000.0</v>
      </c>
      <c r="F773" s="216"/>
      <c r="G773" s="210">
        <f t="shared" si="4"/>
        <v>10000</v>
      </c>
      <c r="H773" s="94"/>
      <c r="I773" s="94"/>
      <c r="J773" s="94"/>
      <c r="K773" s="94"/>
    </row>
    <row r="774" ht="22.5" customHeight="1">
      <c r="A774" s="55">
        <v>772.0</v>
      </c>
      <c r="B774" s="214" t="s">
        <v>881</v>
      </c>
      <c r="C774" s="190"/>
      <c r="D774" s="217">
        <v>45996.0</v>
      </c>
      <c r="E774" s="218">
        <v>11400.0</v>
      </c>
      <c r="F774" s="219"/>
      <c r="G774" s="213">
        <f t="shared" si="4"/>
        <v>11400</v>
      </c>
      <c r="H774" s="94"/>
      <c r="I774" s="94"/>
      <c r="J774" s="94"/>
      <c r="K774" s="94"/>
    </row>
    <row r="775" ht="22.5" customHeight="1">
      <c r="A775" s="37">
        <v>773.0</v>
      </c>
      <c r="B775" s="221" t="s">
        <v>109</v>
      </c>
      <c r="C775" s="208"/>
      <c r="D775" s="220">
        <v>45996.0</v>
      </c>
      <c r="E775" s="215">
        <v>52648.0</v>
      </c>
      <c r="F775" s="216"/>
      <c r="G775" s="210">
        <f t="shared" si="4"/>
        <v>52648</v>
      </c>
      <c r="H775" s="94"/>
      <c r="I775" s="94"/>
      <c r="J775" s="94"/>
      <c r="K775" s="94"/>
    </row>
    <row r="776" ht="22.5" customHeight="1">
      <c r="A776" s="55">
        <v>774.0</v>
      </c>
      <c r="B776" s="214" t="s">
        <v>760</v>
      </c>
      <c r="C776" s="190"/>
      <c r="D776" s="217">
        <v>45998.0</v>
      </c>
      <c r="E776" s="218">
        <v>15000.0</v>
      </c>
      <c r="F776" s="219"/>
      <c r="G776" s="213">
        <f t="shared" si="4"/>
        <v>15000</v>
      </c>
      <c r="H776" s="94"/>
      <c r="I776" s="94"/>
      <c r="J776" s="94"/>
      <c r="K776" s="94"/>
    </row>
    <row r="777" ht="22.5" customHeight="1">
      <c r="A777" s="37">
        <v>775.0</v>
      </c>
      <c r="B777" s="221" t="s">
        <v>880</v>
      </c>
      <c r="C777" s="208"/>
      <c r="D777" s="220">
        <v>45999.0</v>
      </c>
      <c r="E777" s="215">
        <v>20960.0</v>
      </c>
      <c r="F777" s="216"/>
      <c r="G777" s="210">
        <f t="shared" si="4"/>
        <v>20960</v>
      </c>
      <c r="H777" s="94"/>
      <c r="I777" s="94"/>
      <c r="J777" s="94"/>
      <c r="K777" s="94"/>
    </row>
    <row r="778" ht="22.5" customHeight="1">
      <c r="A778" s="55">
        <v>776.0</v>
      </c>
      <c r="B778" s="214" t="s">
        <v>760</v>
      </c>
      <c r="C778" s="190"/>
      <c r="D778" s="217">
        <v>45999.0</v>
      </c>
      <c r="E778" s="218">
        <v>5000.0</v>
      </c>
      <c r="F778" s="219"/>
      <c r="G778" s="213">
        <f t="shared" si="4"/>
        <v>5000</v>
      </c>
      <c r="H778" s="94"/>
      <c r="I778" s="94"/>
      <c r="J778" s="94"/>
      <c r="K778" s="94"/>
    </row>
    <row r="779" ht="22.5" customHeight="1">
      <c r="A779" s="37">
        <v>777.0</v>
      </c>
      <c r="B779" s="221" t="s">
        <v>762</v>
      </c>
      <c r="C779" s="208"/>
      <c r="D779" s="220">
        <v>45999.0</v>
      </c>
      <c r="E779" s="215">
        <v>8400.0</v>
      </c>
      <c r="F779" s="216"/>
      <c r="G779" s="210">
        <f t="shared" si="4"/>
        <v>8400</v>
      </c>
      <c r="H779" s="94"/>
      <c r="I779" s="94"/>
      <c r="J779" s="94"/>
      <c r="K779" s="94"/>
    </row>
    <row r="780" ht="22.5" customHeight="1">
      <c r="A780" s="55">
        <v>778.0</v>
      </c>
      <c r="B780" s="214" t="s">
        <v>109</v>
      </c>
      <c r="C780" s="190"/>
      <c r="D780" s="217">
        <v>45999.0</v>
      </c>
      <c r="E780" s="218">
        <v>-2216.0</v>
      </c>
      <c r="F780" s="219"/>
      <c r="G780" s="213">
        <f t="shared" si="4"/>
        <v>-2216</v>
      </c>
      <c r="H780" s="94"/>
      <c r="I780" s="94"/>
      <c r="J780" s="94"/>
      <c r="K780" s="94"/>
    </row>
    <row r="781" ht="22.5" customHeight="1">
      <c r="A781" s="37">
        <v>779.0</v>
      </c>
      <c r="B781" s="221" t="s">
        <v>109</v>
      </c>
      <c r="C781" s="208"/>
      <c r="D781" s="220">
        <v>45999.0</v>
      </c>
      <c r="E781" s="215">
        <v>-37590.0</v>
      </c>
      <c r="F781" s="216"/>
      <c r="G781" s="210">
        <f t="shared" si="4"/>
        <v>-37590</v>
      </c>
      <c r="H781" s="94"/>
      <c r="I781" s="94"/>
      <c r="J781" s="94"/>
      <c r="K781" s="94"/>
    </row>
    <row r="782" ht="22.5" customHeight="1">
      <c r="A782" s="55">
        <v>780.0</v>
      </c>
      <c r="B782" s="214" t="s">
        <v>762</v>
      </c>
      <c r="C782" s="190"/>
      <c r="D782" s="217">
        <v>45999.0</v>
      </c>
      <c r="E782" s="218">
        <v>10000.0</v>
      </c>
      <c r="F782" s="219"/>
      <c r="G782" s="213">
        <f t="shared" si="4"/>
        <v>10000</v>
      </c>
      <c r="H782" s="94"/>
      <c r="I782" s="94"/>
      <c r="J782" s="94"/>
      <c r="K782" s="94"/>
    </row>
    <row r="783" ht="22.5" customHeight="1">
      <c r="A783" s="37">
        <v>781.0</v>
      </c>
      <c r="B783" s="221" t="s">
        <v>750</v>
      </c>
      <c r="C783" s="208"/>
      <c r="D783" s="220">
        <v>45999.0</v>
      </c>
      <c r="E783" s="215">
        <v>17224.0</v>
      </c>
      <c r="F783" s="216"/>
      <c r="G783" s="210">
        <f t="shared" si="4"/>
        <v>17224</v>
      </c>
      <c r="H783" s="94"/>
      <c r="I783" s="94"/>
      <c r="J783" s="94"/>
      <c r="K783" s="94"/>
    </row>
    <row r="784" ht="22.5" customHeight="1">
      <c r="A784" s="55">
        <v>782.0</v>
      </c>
      <c r="B784" s="214" t="s">
        <v>882</v>
      </c>
      <c r="C784" s="190"/>
      <c r="D784" s="217">
        <v>45999.0</v>
      </c>
      <c r="E784" s="218">
        <v>22000.0</v>
      </c>
      <c r="F784" s="219"/>
      <c r="G784" s="213">
        <f t="shared" si="4"/>
        <v>22000</v>
      </c>
      <c r="H784" s="94"/>
      <c r="I784" s="94"/>
      <c r="J784" s="94"/>
      <c r="K784" s="94"/>
    </row>
    <row r="785" ht="22.5" customHeight="1">
      <c r="A785" s="37">
        <v>783.0</v>
      </c>
      <c r="B785" s="221" t="s">
        <v>883</v>
      </c>
      <c r="C785" s="208"/>
      <c r="D785" s="220">
        <v>45999.0</v>
      </c>
      <c r="E785" s="215">
        <v>53500.0</v>
      </c>
      <c r="F785" s="216"/>
      <c r="G785" s="210">
        <f t="shared" si="4"/>
        <v>53500</v>
      </c>
      <c r="H785" s="94"/>
      <c r="I785" s="94"/>
      <c r="J785" s="94"/>
      <c r="K785" s="94"/>
    </row>
    <row r="786" ht="22.5" customHeight="1">
      <c r="A786" s="55">
        <v>784.0</v>
      </c>
      <c r="B786" s="214" t="s">
        <v>359</v>
      </c>
      <c r="C786" s="190"/>
      <c r="D786" s="217">
        <v>45999.0</v>
      </c>
      <c r="E786" s="218">
        <v>15000.0</v>
      </c>
      <c r="F786" s="219"/>
      <c r="G786" s="213">
        <f t="shared" si="4"/>
        <v>15000</v>
      </c>
      <c r="H786" s="94"/>
      <c r="I786" s="94"/>
      <c r="J786" s="94"/>
      <c r="K786" s="94"/>
    </row>
    <row r="787" ht="22.5" customHeight="1">
      <c r="A787" s="37">
        <v>785.0</v>
      </c>
      <c r="B787" s="221" t="s">
        <v>884</v>
      </c>
      <c r="C787" s="208"/>
      <c r="D787" s="220">
        <v>45999.0</v>
      </c>
      <c r="E787" s="215">
        <v>6500.0</v>
      </c>
      <c r="F787" s="216"/>
      <c r="G787" s="210">
        <f t="shared" si="4"/>
        <v>6500</v>
      </c>
      <c r="H787" s="94"/>
      <c r="I787" s="94"/>
      <c r="J787" s="94"/>
      <c r="K787" s="94"/>
    </row>
    <row r="788" ht="22.5" customHeight="1">
      <c r="A788" s="55">
        <v>786.0</v>
      </c>
      <c r="B788" s="214" t="s">
        <v>822</v>
      </c>
      <c r="C788" s="190"/>
      <c r="D788" s="217">
        <v>45999.0</v>
      </c>
      <c r="E788" s="218">
        <v>11239.0</v>
      </c>
      <c r="F788" s="219"/>
      <c r="G788" s="213">
        <f t="shared" si="4"/>
        <v>11239</v>
      </c>
      <c r="H788" s="94"/>
      <c r="I788" s="94"/>
      <c r="J788" s="94"/>
      <c r="K788" s="94"/>
    </row>
    <row r="789" ht="22.5" customHeight="1">
      <c r="A789" s="37">
        <v>787.0</v>
      </c>
      <c r="B789" s="221" t="s">
        <v>885</v>
      </c>
      <c r="C789" s="208"/>
      <c r="D789" s="220">
        <v>45999.0</v>
      </c>
      <c r="E789" s="215">
        <v>10866.0</v>
      </c>
      <c r="F789" s="216"/>
      <c r="G789" s="210">
        <f t="shared" si="4"/>
        <v>10866</v>
      </c>
      <c r="H789" s="94"/>
      <c r="I789" s="94"/>
      <c r="J789" s="94"/>
      <c r="K789" s="94"/>
    </row>
    <row r="790" ht="22.5" customHeight="1">
      <c r="A790" s="55">
        <v>788.0</v>
      </c>
      <c r="B790" s="214" t="s">
        <v>650</v>
      </c>
      <c r="C790" s="190"/>
      <c r="D790" s="217">
        <v>45999.0</v>
      </c>
      <c r="E790" s="218">
        <v>15420.0</v>
      </c>
      <c r="F790" s="219"/>
      <c r="G790" s="213">
        <f t="shared" si="4"/>
        <v>15420</v>
      </c>
      <c r="H790" s="94"/>
      <c r="I790" s="94"/>
      <c r="J790" s="94"/>
      <c r="K790" s="94"/>
    </row>
    <row r="791" ht="22.5" customHeight="1">
      <c r="A791" s="37">
        <v>789.0</v>
      </c>
      <c r="B791" s="221" t="s">
        <v>886</v>
      </c>
      <c r="C791" s="208"/>
      <c r="D791" s="220">
        <v>45999.0</v>
      </c>
      <c r="E791" s="215">
        <v>18000.0</v>
      </c>
      <c r="F791" s="216"/>
      <c r="G791" s="210">
        <f t="shared" si="4"/>
        <v>18000</v>
      </c>
      <c r="H791" s="94"/>
      <c r="I791" s="94"/>
      <c r="J791" s="94"/>
      <c r="K791" s="94"/>
    </row>
    <row r="792" ht="22.5" customHeight="1">
      <c r="A792" s="55">
        <v>790.0</v>
      </c>
      <c r="B792" s="214" t="s">
        <v>887</v>
      </c>
      <c r="C792" s="190"/>
      <c r="D792" s="217">
        <v>45999.0</v>
      </c>
      <c r="E792" s="218">
        <v>20000.0</v>
      </c>
      <c r="F792" s="219"/>
      <c r="G792" s="213">
        <f t="shared" si="4"/>
        <v>20000</v>
      </c>
      <c r="H792" s="94"/>
      <c r="I792" s="94"/>
      <c r="J792" s="94"/>
      <c r="K792" s="94"/>
    </row>
    <row r="793" ht="22.5" customHeight="1">
      <c r="A793" s="37">
        <v>791.0</v>
      </c>
      <c r="B793" s="221" t="s">
        <v>786</v>
      </c>
      <c r="C793" s="208"/>
      <c r="D793" s="220">
        <v>45999.0</v>
      </c>
      <c r="E793" s="215">
        <v>15000.0</v>
      </c>
      <c r="F793" s="216"/>
      <c r="G793" s="210">
        <f t="shared" si="4"/>
        <v>15000</v>
      </c>
      <c r="H793" s="94"/>
      <c r="I793" s="94"/>
      <c r="J793" s="94"/>
      <c r="K793" s="94"/>
    </row>
    <row r="794" ht="22.5" customHeight="1">
      <c r="A794" s="55">
        <v>792.0</v>
      </c>
      <c r="B794" s="214" t="s">
        <v>879</v>
      </c>
      <c r="C794" s="190"/>
      <c r="D794" s="217">
        <v>45999.0</v>
      </c>
      <c r="E794" s="218">
        <v>53000.0</v>
      </c>
      <c r="F794" s="219"/>
      <c r="G794" s="213">
        <f t="shared" si="4"/>
        <v>53000</v>
      </c>
      <c r="H794" s="94"/>
      <c r="I794" s="94"/>
      <c r="J794" s="94"/>
      <c r="K794" s="94"/>
    </row>
    <row r="795" ht="22.5" customHeight="1">
      <c r="A795" s="37">
        <v>793.0</v>
      </c>
      <c r="B795" s="221" t="s">
        <v>888</v>
      </c>
      <c r="C795" s="208"/>
      <c r="D795" s="220">
        <v>45999.0</v>
      </c>
      <c r="E795" s="215">
        <v>40000.0</v>
      </c>
      <c r="F795" s="216"/>
      <c r="G795" s="210">
        <f t="shared" si="4"/>
        <v>40000</v>
      </c>
      <c r="H795" s="94"/>
      <c r="I795" s="94"/>
      <c r="J795" s="94"/>
      <c r="K795" s="94"/>
    </row>
    <row r="796" ht="22.5" customHeight="1">
      <c r="A796" s="55">
        <v>794.0</v>
      </c>
      <c r="B796" s="214" t="s">
        <v>225</v>
      </c>
      <c r="C796" s="190"/>
      <c r="D796" s="217">
        <v>45999.0</v>
      </c>
      <c r="E796" s="218">
        <v>59777.0</v>
      </c>
      <c r="F796" s="219"/>
      <c r="G796" s="213">
        <f t="shared" si="4"/>
        <v>59777</v>
      </c>
      <c r="H796" s="94"/>
      <c r="I796" s="94"/>
      <c r="J796" s="94"/>
      <c r="K796" s="94"/>
    </row>
    <row r="797" ht="22.5" customHeight="1">
      <c r="A797" s="37">
        <v>795.0</v>
      </c>
      <c r="B797" s="221" t="s">
        <v>321</v>
      </c>
      <c r="C797" s="208"/>
      <c r="D797" s="220">
        <v>46000.0</v>
      </c>
      <c r="E797" s="215">
        <v>46546.0</v>
      </c>
      <c r="F797" s="216"/>
      <c r="G797" s="210">
        <f t="shared" si="4"/>
        <v>46546</v>
      </c>
      <c r="H797" s="94"/>
      <c r="I797" s="94"/>
      <c r="J797" s="94"/>
      <c r="K797" s="94"/>
    </row>
    <row r="798" ht="22.5" customHeight="1">
      <c r="A798" s="55">
        <v>796.0</v>
      </c>
      <c r="B798" s="214" t="s">
        <v>450</v>
      </c>
      <c r="C798" s="190"/>
      <c r="D798" s="217">
        <v>46000.0</v>
      </c>
      <c r="E798" s="218">
        <v>9023.0</v>
      </c>
      <c r="F798" s="219"/>
      <c r="G798" s="213">
        <f t="shared" si="4"/>
        <v>9023</v>
      </c>
      <c r="H798" s="94"/>
      <c r="I798" s="94"/>
      <c r="J798" s="94"/>
      <c r="K798" s="94"/>
    </row>
    <row r="799" ht="22.5" customHeight="1">
      <c r="A799" s="37">
        <v>797.0</v>
      </c>
      <c r="B799" s="221" t="s">
        <v>142</v>
      </c>
      <c r="C799" s="208"/>
      <c r="D799" s="220">
        <v>46000.0</v>
      </c>
      <c r="E799" s="215">
        <v>98000.0</v>
      </c>
      <c r="F799" s="216"/>
      <c r="G799" s="210">
        <f t="shared" si="4"/>
        <v>98000</v>
      </c>
      <c r="H799" s="94"/>
      <c r="I799" s="94"/>
      <c r="J799" s="94"/>
      <c r="K799" s="94"/>
    </row>
    <row r="800" ht="22.5" customHeight="1">
      <c r="A800" s="55">
        <v>798.0</v>
      </c>
      <c r="B800" s="214" t="s">
        <v>847</v>
      </c>
      <c r="C800" s="190"/>
      <c r="D800" s="217">
        <v>46000.0</v>
      </c>
      <c r="E800" s="218">
        <v>38600.0</v>
      </c>
      <c r="F800" s="219"/>
      <c r="G800" s="213">
        <f t="shared" si="4"/>
        <v>38600</v>
      </c>
      <c r="H800" s="94"/>
      <c r="I800" s="94"/>
      <c r="J800" s="94"/>
      <c r="K800" s="94"/>
    </row>
    <row r="801" ht="22.5" customHeight="1">
      <c r="A801" s="37">
        <v>799.0</v>
      </c>
      <c r="B801" s="221" t="s">
        <v>889</v>
      </c>
      <c r="C801" s="208"/>
      <c r="D801" s="220">
        <v>46000.0</v>
      </c>
      <c r="E801" s="215">
        <v>33000.0</v>
      </c>
      <c r="F801" s="216"/>
      <c r="G801" s="210">
        <f t="shared" si="4"/>
        <v>33000</v>
      </c>
      <c r="H801" s="94"/>
      <c r="I801" s="94"/>
      <c r="J801" s="94"/>
      <c r="K801" s="94"/>
    </row>
    <row r="802" ht="22.5" customHeight="1">
      <c r="A802" s="55">
        <v>800.0</v>
      </c>
      <c r="B802" s="214" t="s">
        <v>118</v>
      </c>
      <c r="C802" s="190"/>
      <c r="D802" s="217">
        <v>46002.0</v>
      </c>
      <c r="E802" s="218">
        <v>979.42</v>
      </c>
      <c r="F802" s="219"/>
      <c r="G802" s="213">
        <f t="shared" si="4"/>
        <v>979.42</v>
      </c>
      <c r="H802" s="94"/>
      <c r="I802" s="94"/>
      <c r="J802" s="94"/>
      <c r="K802" s="94"/>
    </row>
    <row r="803" ht="22.5" customHeight="1">
      <c r="A803" s="37">
        <v>801.0</v>
      </c>
      <c r="B803" s="221" t="s">
        <v>109</v>
      </c>
      <c r="C803" s="208"/>
      <c r="D803" s="220">
        <v>46002.0</v>
      </c>
      <c r="E803" s="215">
        <v>6254.0</v>
      </c>
      <c r="F803" s="216"/>
      <c r="G803" s="210">
        <f t="shared" si="4"/>
        <v>6254</v>
      </c>
      <c r="H803" s="94"/>
      <c r="I803" s="94"/>
      <c r="J803" s="94"/>
      <c r="K803" s="94"/>
    </row>
    <row r="804" ht="22.5" customHeight="1">
      <c r="A804" s="55">
        <v>802.0</v>
      </c>
      <c r="B804" s="214" t="s">
        <v>871</v>
      </c>
      <c r="C804" s="190"/>
      <c r="D804" s="217">
        <v>46002.0</v>
      </c>
      <c r="E804" s="218">
        <v>18500.0</v>
      </c>
      <c r="F804" s="219"/>
      <c r="G804" s="213">
        <f t="shared" si="4"/>
        <v>18500</v>
      </c>
      <c r="H804" s="94"/>
      <c r="I804" s="94"/>
      <c r="J804" s="94"/>
      <c r="K804" s="94"/>
    </row>
    <row r="805" ht="22.5" customHeight="1">
      <c r="A805" s="37">
        <v>803.0</v>
      </c>
      <c r="B805" s="221" t="s">
        <v>876</v>
      </c>
      <c r="C805" s="208"/>
      <c r="D805" s="220">
        <v>46002.0</v>
      </c>
      <c r="E805" s="215">
        <v>12318.0</v>
      </c>
      <c r="F805" s="216"/>
      <c r="G805" s="210">
        <f t="shared" si="4"/>
        <v>12318</v>
      </c>
      <c r="H805" s="94"/>
      <c r="I805" s="94"/>
      <c r="J805" s="94"/>
      <c r="K805" s="94"/>
    </row>
    <row r="806" ht="22.5" customHeight="1">
      <c r="A806" s="55">
        <v>804.0</v>
      </c>
      <c r="B806" s="214" t="s">
        <v>109</v>
      </c>
      <c r="C806" s="190"/>
      <c r="D806" s="217">
        <v>46003.0</v>
      </c>
      <c r="E806" s="218">
        <v>18546.0</v>
      </c>
      <c r="F806" s="219"/>
      <c r="G806" s="213">
        <f t="shared" si="4"/>
        <v>18546</v>
      </c>
      <c r="H806" s="94"/>
      <c r="I806" s="94"/>
      <c r="J806" s="94"/>
      <c r="K806" s="94"/>
    </row>
    <row r="807" ht="22.5" customHeight="1">
      <c r="A807" s="37">
        <v>805.0</v>
      </c>
      <c r="B807" s="221" t="s">
        <v>109</v>
      </c>
      <c r="C807" s="208"/>
      <c r="D807" s="220">
        <v>46003.0</v>
      </c>
      <c r="E807" s="215">
        <v>23124.0</v>
      </c>
      <c r="F807" s="216"/>
      <c r="G807" s="210">
        <f t="shared" si="4"/>
        <v>23124</v>
      </c>
      <c r="H807" s="94"/>
      <c r="I807" s="94"/>
      <c r="J807" s="94"/>
      <c r="K807" s="94"/>
    </row>
    <row r="808" ht="22.5" customHeight="1">
      <c r="A808" s="55">
        <v>806.0</v>
      </c>
      <c r="B808" s="214" t="s">
        <v>109</v>
      </c>
      <c r="C808" s="190"/>
      <c r="D808" s="217">
        <v>46003.0</v>
      </c>
      <c r="E808" s="218">
        <v>21632.69</v>
      </c>
      <c r="F808" s="219"/>
      <c r="G808" s="213">
        <f t="shared" si="4"/>
        <v>21632.69</v>
      </c>
      <c r="H808" s="94"/>
      <c r="I808" s="94"/>
      <c r="J808" s="94"/>
      <c r="K808" s="94"/>
    </row>
    <row r="809" ht="22.5" customHeight="1">
      <c r="A809" s="37">
        <v>807.0</v>
      </c>
      <c r="B809" s="221" t="s">
        <v>784</v>
      </c>
      <c r="C809" s="208"/>
      <c r="D809" s="220">
        <v>46003.0</v>
      </c>
      <c r="E809" s="215">
        <v>1880.88</v>
      </c>
      <c r="F809" s="216"/>
      <c r="G809" s="210">
        <f t="shared" si="4"/>
        <v>1880.88</v>
      </c>
      <c r="H809" s="94"/>
      <c r="I809" s="94"/>
      <c r="J809" s="94"/>
      <c r="K809" s="94"/>
    </row>
    <row r="810" ht="22.5" customHeight="1">
      <c r="A810" s="55">
        <v>808.0</v>
      </c>
      <c r="B810" s="214" t="s">
        <v>890</v>
      </c>
      <c r="C810" s="190"/>
      <c r="D810" s="217">
        <v>46003.0</v>
      </c>
      <c r="E810" s="218">
        <v>2157.0</v>
      </c>
      <c r="F810" s="219"/>
      <c r="G810" s="213">
        <f t="shared" si="4"/>
        <v>2157</v>
      </c>
      <c r="H810" s="94"/>
      <c r="I810" s="94"/>
      <c r="J810" s="94"/>
      <c r="K810" s="94"/>
    </row>
    <row r="811" ht="22.5" customHeight="1">
      <c r="A811" s="37">
        <v>809.0</v>
      </c>
      <c r="B811" s="221" t="s">
        <v>293</v>
      </c>
      <c r="C811" s="208"/>
      <c r="D811" s="220">
        <v>46006.0</v>
      </c>
      <c r="E811" s="215">
        <v>34532.68</v>
      </c>
      <c r="F811" s="216"/>
      <c r="G811" s="210">
        <f t="shared" si="4"/>
        <v>34532.68</v>
      </c>
      <c r="H811" s="94"/>
      <c r="I811" s="94"/>
      <c r="J811" s="94"/>
      <c r="K811" s="94"/>
    </row>
    <row r="812" ht="22.5" customHeight="1">
      <c r="A812" s="55">
        <v>810.0</v>
      </c>
      <c r="B812" s="214" t="s">
        <v>762</v>
      </c>
      <c r="C812" s="190"/>
      <c r="D812" s="217">
        <v>46007.0</v>
      </c>
      <c r="E812" s="218">
        <v>10000.0</v>
      </c>
      <c r="F812" s="219"/>
      <c r="G812" s="213">
        <f t="shared" si="4"/>
        <v>10000</v>
      </c>
      <c r="H812" s="94"/>
      <c r="I812" s="94"/>
      <c r="J812" s="94"/>
      <c r="K812" s="94"/>
    </row>
    <row r="813" ht="22.5" customHeight="1">
      <c r="A813" s="37">
        <v>811.0</v>
      </c>
      <c r="B813" s="221" t="s">
        <v>891</v>
      </c>
      <c r="C813" s="208"/>
      <c r="D813" s="220">
        <v>46007.0</v>
      </c>
      <c r="E813" s="215">
        <v>18720.69</v>
      </c>
      <c r="F813" s="216"/>
      <c r="G813" s="210">
        <f t="shared" si="4"/>
        <v>18720.69</v>
      </c>
      <c r="H813" s="94"/>
      <c r="I813" s="94"/>
      <c r="J813" s="94"/>
      <c r="K813" s="94"/>
    </row>
    <row r="814" ht="22.5" customHeight="1">
      <c r="A814" s="55">
        <v>812.0</v>
      </c>
      <c r="B814" s="214" t="s">
        <v>892</v>
      </c>
      <c r="C814" s="190"/>
      <c r="D814" s="217">
        <v>46009.0</v>
      </c>
      <c r="E814" s="218">
        <v>2000.0</v>
      </c>
      <c r="F814" s="219"/>
      <c r="G814" s="213">
        <f t="shared" si="4"/>
        <v>2000</v>
      </c>
      <c r="H814" s="94"/>
      <c r="I814" s="94"/>
      <c r="J814" s="94"/>
      <c r="K814" s="94"/>
    </row>
    <row r="815" ht="22.5" customHeight="1">
      <c r="A815" s="37">
        <v>813.0</v>
      </c>
      <c r="B815" s="221" t="s">
        <v>876</v>
      </c>
      <c r="C815" s="208"/>
      <c r="D815" s="220">
        <v>46009.0</v>
      </c>
      <c r="E815" s="215">
        <v>4185.0</v>
      </c>
      <c r="F815" s="216"/>
      <c r="G815" s="210">
        <f t="shared" si="4"/>
        <v>4185</v>
      </c>
      <c r="H815" s="94"/>
      <c r="I815" s="94"/>
      <c r="J815" s="94"/>
      <c r="K815" s="94"/>
    </row>
    <row r="816" ht="22.5" customHeight="1">
      <c r="A816" s="55">
        <v>814.0</v>
      </c>
      <c r="B816" s="214" t="s">
        <v>879</v>
      </c>
      <c r="C816" s="190"/>
      <c r="D816" s="217">
        <v>46009.0</v>
      </c>
      <c r="E816" s="218">
        <v>48220.0</v>
      </c>
      <c r="F816" s="219"/>
      <c r="G816" s="213">
        <f t="shared" si="4"/>
        <v>48220</v>
      </c>
      <c r="H816" s="94"/>
      <c r="I816" s="94"/>
      <c r="J816" s="94"/>
      <c r="K816" s="94"/>
    </row>
    <row r="817" ht="22.5" customHeight="1">
      <c r="A817" s="37">
        <v>815.0</v>
      </c>
      <c r="B817" s="221" t="s">
        <v>819</v>
      </c>
      <c r="C817" s="208"/>
      <c r="D817" s="220">
        <v>46009.0</v>
      </c>
      <c r="E817" s="215">
        <v>15000.0</v>
      </c>
      <c r="F817" s="216"/>
      <c r="G817" s="210">
        <f t="shared" si="4"/>
        <v>15000</v>
      </c>
      <c r="H817" s="94"/>
      <c r="I817" s="94"/>
      <c r="J817" s="94"/>
      <c r="K817" s="94"/>
    </row>
    <row r="818" ht="22.5" customHeight="1">
      <c r="A818" s="55">
        <v>816.0</v>
      </c>
      <c r="B818" s="214" t="s">
        <v>359</v>
      </c>
      <c r="C818" s="190"/>
      <c r="D818" s="217">
        <v>46009.0</v>
      </c>
      <c r="E818" s="218">
        <v>40000.0</v>
      </c>
      <c r="F818" s="219"/>
      <c r="G818" s="213">
        <f t="shared" si="4"/>
        <v>40000</v>
      </c>
      <c r="H818" s="94"/>
      <c r="I818" s="94"/>
      <c r="J818" s="94"/>
      <c r="K818" s="94"/>
    </row>
    <row r="819" ht="22.5" customHeight="1">
      <c r="A819" s="37">
        <v>817.0</v>
      </c>
      <c r="B819" s="221" t="s">
        <v>762</v>
      </c>
      <c r="C819" s="208"/>
      <c r="D819" s="220">
        <v>46009.0</v>
      </c>
      <c r="E819" s="215">
        <v>8140.0</v>
      </c>
      <c r="F819" s="216"/>
      <c r="G819" s="210">
        <f t="shared" si="4"/>
        <v>8140</v>
      </c>
      <c r="H819" s="94"/>
      <c r="I819" s="94"/>
      <c r="J819" s="94"/>
      <c r="K819" s="94"/>
    </row>
    <row r="820" ht="22.5" customHeight="1">
      <c r="A820" s="55">
        <v>818.0</v>
      </c>
      <c r="B820" s="214" t="s">
        <v>765</v>
      </c>
      <c r="C820" s="190"/>
      <c r="D820" s="217">
        <v>46009.0</v>
      </c>
      <c r="E820" s="218">
        <v>6774.0</v>
      </c>
      <c r="F820" s="219"/>
      <c r="G820" s="213">
        <f t="shared" si="4"/>
        <v>6774</v>
      </c>
      <c r="H820" s="94"/>
      <c r="I820" s="94"/>
      <c r="J820" s="94"/>
      <c r="K820" s="94"/>
    </row>
    <row r="821" ht="22.5" customHeight="1">
      <c r="A821" s="37">
        <v>819.0</v>
      </c>
      <c r="B821" s="221" t="s">
        <v>706</v>
      </c>
      <c r="C821" s="208"/>
      <c r="D821" s="220">
        <v>46009.0</v>
      </c>
      <c r="E821" s="215">
        <v>7775.0</v>
      </c>
      <c r="F821" s="216"/>
      <c r="G821" s="210">
        <f t="shared" si="4"/>
        <v>7775</v>
      </c>
      <c r="H821" s="94"/>
      <c r="I821" s="94"/>
      <c r="J821" s="94"/>
      <c r="K821" s="94"/>
    </row>
    <row r="822" ht="22.5" customHeight="1">
      <c r="A822" s="55">
        <v>820.0</v>
      </c>
      <c r="B822" s="214" t="s">
        <v>362</v>
      </c>
      <c r="C822" s="190"/>
      <c r="D822" s="217">
        <v>46009.0</v>
      </c>
      <c r="E822" s="218">
        <v>85840.0</v>
      </c>
      <c r="F822" s="219"/>
      <c r="G822" s="213">
        <f t="shared" si="4"/>
        <v>85840</v>
      </c>
      <c r="H822" s="94"/>
      <c r="I822" s="94"/>
      <c r="J822" s="94"/>
      <c r="K822" s="94"/>
    </row>
    <row r="823" ht="22.5" customHeight="1">
      <c r="A823" s="37">
        <v>821.0</v>
      </c>
      <c r="B823" s="221" t="s">
        <v>820</v>
      </c>
      <c r="C823" s="208"/>
      <c r="D823" s="220">
        <v>46009.0</v>
      </c>
      <c r="E823" s="215">
        <v>8500.0</v>
      </c>
      <c r="F823" s="216"/>
      <c r="G823" s="210">
        <f t="shared" si="4"/>
        <v>8500</v>
      </c>
      <c r="H823" s="94"/>
      <c r="I823" s="94"/>
      <c r="J823" s="94"/>
      <c r="K823" s="94"/>
    </row>
    <row r="824" ht="22.5" customHeight="1">
      <c r="A824" s="55">
        <v>822.0</v>
      </c>
      <c r="B824" s="214" t="s">
        <v>750</v>
      </c>
      <c r="C824" s="190"/>
      <c r="D824" s="217">
        <v>46009.0</v>
      </c>
      <c r="E824" s="218">
        <v>16277.0</v>
      </c>
      <c r="F824" s="219"/>
      <c r="G824" s="213">
        <f t="shared" si="4"/>
        <v>16277</v>
      </c>
      <c r="H824" s="94"/>
      <c r="I824" s="94"/>
      <c r="J824" s="94"/>
      <c r="K824" s="94"/>
    </row>
    <row r="825" ht="22.5" customHeight="1">
      <c r="A825" s="37">
        <v>823.0</v>
      </c>
      <c r="B825" s="221" t="s">
        <v>893</v>
      </c>
      <c r="C825" s="208"/>
      <c r="D825" s="220">
        <v>46009.0</v>
      </c>
      <c r="E825" s="215">
        <v>1000.0</v>
      </c>
      <c r="F825" s="216"/>
      <c r="G825" s="210">
        <f t="shared" si="4"/>
        <v>1000</v>
      </c>
      <c r="H825" s="94"/>
      <c r="I825" s="94"/>
      <c r="J825" s="94"/>
      <c r="K825" s="94"/>
    </row>
    <row r="826" ht="22.5" customHeight="1">
      <c r="A826" s="55">
        <v>824.0</v>
      </c>
      <c r="B826" s="214" t="s">
        <v>142</v>
      </c>
      <c r="C826" s="190"/>
      <c r="D826" s="217">
        <v>46009.0</v>
      </c>
      <c r="E826" s="218">
        <v>49000.0</v>
      </c>
      <c r="F826" s="219"/>
      <c r="G826" s="213">
        <f t="shared" si="4"/>
        <v>49000</v>
      </c>
      <c r="H826" s="94"/>
      <c r="I826" s="94"/>
      <c r="J826" s="94"/>
      <c r="K826" s="94"/>
    </row>
    <row r="827" ht="22.5" customHeight="1">
      <c r="A827" s="37">
        <v>825.0</v>
      </c>
      <c r="B827" s="221" t="s">
        <v>793</v>
      </c>
      <c r="C827" s="208"/>
      <c r="D827" s="220">
        <v>46009.0</v>
      </c>
      <c r="E827" s="215">
        <v>19612.0</v>
      </c>
      <c r="F827" s="216"/>
      <c r="G827" s="210">
        <f t="shared" si="4"/>
        <v>19612</v>
      </c>
      <c r="H827" s="94"/>
      <c r="I827" s="94"/>
      <c r="J827" s="94"/>
      <c r="K827" s="94"/>
    </row>
    <row r="828" ht="22.5" customHeight="1">
      <c r="A828" s="55">
        <v>826.0</v>
      </c>
      <c r="B828" s="214" t="s">
        <v>803</v>
      </c>
      <c r="C828" s="190"/>
      <c r="D828" s="217">
        <v>46009.0</v>
      </c>
      <c r="E828" s="218">
        <v>937.0</v>
      </c>
      <c r="F828" s="219"/>
      <c r="G828" s="213">
        <f t="shared" si="4"/>
        <v>937</v>
      </c>
      <c r="H828" s="94"/>
      <c r="I828" s="94"/>
      <c r="J828" s="94"/>
      <c r="K828" s="94"/>
    </row>
    <row r="829" ht="22.5" customHeight="1">
      <c r="A829" s="37">
        <v>827.0</v>
      </c>
      <c r="B829" s="221" t="s">
        <v>894</v>
      </c>
      <c r="C829" s="208"/>
      <c r="D829" s="220">
        <v>46009.0</v>
      </c>
      <c r="E829" s="215">
        <v>1859.0</v>
      </c>
      <c r="F829" s="216"/>
      <c r="G829" s="210">
        <f t="shared" si="4"/>
        <v>1859</v>
      </c>
      <c r="H829" s="94"/>
      <c r="I829" s="94"/>
      <c r="J829" s="94"/>
      <c r="K829" s="94"/>
    </row>
    <row r="830" ht="22.5" customHeight="1">
      <c r="A830" s="55">
        <v>828.0</v>
      </c>
      <c r="B830" s="214" t="s">
        <v>804</v>
      </c>
      <c r="C830" s="190"/>
      <c r="D830" s="217">
        <v>46009.0</v>
      </c>
      <c r="E830" s="218">
        <v>2868.0</v>
      </c>
      <c r="F830" s="219"/>
      <c r="G830" s="213">
        <f t="shared" si="4"/>
        <v>2868</v>
      </c>
      <c r="H830" s="94"/>
      <c r="I830" s="94"/>
      <c r="J830" s="94"/>
      <c r="K830" s="94"/>
    </row>
    <row r="831" ht="22.5" customHeight="1">
      <c r="A831" s="37">
        <v>829.0</v>
      </c>
      <c r="B831" s="221" t="s">
        <v>225</v>
      </c>
      <c r="C831" s="208"/>
      <c r="D831" s="220">
        <v>46009.0</v>
      </c>
      <c r="E831" s="215">
        <v>58646.0</v>
      </c>
      <c r="F831" s="216"/>
      <c r="G831" s="210">
        <f t="shared" si="4"/>
        <v>58646</v>
      </c>
      <c r="H831" s="94"/>
      <c r="I831" s="94"/>
      <c r="J831" s="94"/>
      <c r="K831" s="94"/>
    </row>
    <row r="832" ht="22.5" customHeight="1">
      <c r="A832" s="55">
        <v>830.0</v>
      </c>
      <c r="B832" s="214" t="s">
        <v>895</v>
      </c>
      <c r="C832" s="190"/>
      <c r="D832" s="217">
        <v>46010.0</v>
      </c>
      <c r="E832" s="218">
        <v>69384.0</v>
      </c>
      <c r="F832" s="219"/>
      <c r="G832" s="213">
        <f t="shared" si="4"/>
        <v>69384</v>
      </c>
      <c r="H832" s="94"/>
      <c r="I832" s="94"/>
      <c r="J832" s="94"/>
      <c r="K832" s="94"/>
    </row>
    <row r="833" ht="22.5" customHeight="1">
      <c r="A833" s="37">
        <v>831.0</v>
      </c>
      <c r="B833" s="221" t="s">
        <v>705</v>
      </c>
      <c r="C833" s="208"/>
      <c r="D833" s="220">
        <v>46010.0</v>
      </c>
      <c r="E833" s="215">
        <v>10217.0</v>
      </c>
      <c r="F833" s="216"/>
      <c r="G833" s="210">
        <f t="shared" si="4"/>
        <v>10217</v>
      </c>
      <c r="H833" s="94"/>
      <c r="I833" s="94"/>
      <c r="J833" s="94"/>
      <c r="K833" s="94"/>
    </row>
    <row r="834" ht="22.5" customHeight="1">
      <c r="A834" s="55">
        <v>832.0</v>
      </c>
      <c r="B834" s="214" t="s">
        <v>490</v>
      </c>
      <c r="C834" s="190"/>
      <c r="D834" s="217">
        <v>46010.0</v>
      </c>
      <c r="E834" s="218">
        <v>48600.0</v>
      </c>
      <c r="F834" s="219"/>
      <c r="G834" s="213">
        <f t="shared" si="4"/>
        <v>48600</v>
      </c>
      <c r="H834" s="94"/>
      <c r="I834" s="94"/>
      <c r="J834" s="94"/>
      <c r="K834" s="94"/>
    </row>
    <row r="835" ht="22.5" customHeight="1">
      <c r="A835" s="37">
        <v>833.0</v>
      </c>
      <c r="B835" s="221" t="s">
        <v>872</v>
      </c>
      <c r="C835" s="208"/>
      <c r="D835" s="220">
        <v>46010.0</v>
      </c>
      <c r="E835" s="215">
        <v>35000.0</v>
      </c>
      <c r="F835" s="216"/>
      <c r="G835" s="210">
        <f t="shared" si="4"/>
        <v>35000</v>
      </c>
      <c r="H835" s="94"/>
      <c r="I835" s="94"/>
      <c r="J835" s="94"/>
      <c r="K835" s="94"/>
    </row>
    <row r="836" ht="22.5" customHeight="1">
      <c r="A836" s="55">
        <v>834.0</v>
      </c>
      <c r="B836" s="214" t="s">
        <v>896</v>
      </c>
      <c r="C836" s="190"/>
      <c r="D836" s="217">
        <v>46010.0</v>
      </c>
      <c r="E836" s="218">
        <v>42500.0</v>
      </c>
      <c r="F836" s="219"/>
      <c r="G836" s="213">
        <f t="shared" si="4"/>
        <v>42500</v>
      </c>
      <c r="H836" s="94"/>
      <c r="I836" s="94"/>
      <c r="J836" s="94"/>
      <c r="K836" s="94"/>
    </row>
    <row r="837" ht="22.5" customHeight="1">
      <c r="A837" s="37">
        <v>835.0</v>
      </c>
      <c r="B837" s="221" t="s">
        <v>897</v>
      </c>
      <c r="C837" s="208"/>
      <c r="D837" s="220">
        <v>46011.0</v>
      </c>
      <c r="E837" s="215">
        <v>2000000.0</v>
      </c>
      <c r="F837" s="216"/>
      <c r="G837" s="210">
        <f t="shared" si="4"/>
        <v>2000000</v>
      </c>
      <c r="H837" s="94"/>
      <c r="I837" s="94"/>
      <c r="J837" s="94"/>
      <c r="K837" s="94"/>
    </row>
    <row r="838" ht="22.5" customHeight="1">
      <c r="A838" s="55">
        <v>836.0</v>
      </c>
      <c r="B838" s="214" t="s">
        <v>898</v>
      </c>
      <c r="C838" s="190"/>
      <c r="D838" s="217">
        <v>46011.0</v>
      </c>
      <c r="E838" s="218">
        <v>17700.0</v>
      </c>
      <c r="F838" s="219"/>
      <c r="G838" s="213">
        <f t="shared" si="4"/>
        <v>17700</v>
      </c>
      <c r="H838" s="94"/>
      <c r="I838" s="94"/>
      <c r="J838" s="94"/>
      <c r="K838" s="94"/>
    </row>
    <row r="839" ht="22.5" customHeight="1">
      <c r="A839" s="37">
        <v>837.0</v>
      </c>
      <c r="B839" s="221" t="s">
        <v>88</v>
      </c>
      <c r="C839" s="208"/>
      <c r="D839" s="220">
        <v>46011.0</v>
      </c>
      <c r="E839" s="215">
        <v>11000.0</v>
      </c>
      <c r="F839" s="216"/>
      <c r="G839" s="210">
        <f t="shared" si="4"/>
        <v>11000</v>
      </c>
      <c r="H839" s="94"/>
      <c r="I839" s="94"/>
      <c r="J839" s="94"/>
      <c r="K839" s="94"/>
    </row>
    <row r="840" ht="22.5" customHeight="1">
      <c r="A840" s="55">
        <v>838.0</v>
      </c>
      <c r="B840" s="214" t="s">
        <v>88</v>
      </c>
      <c r="C840" s="190"/>
      <c r="D840" s="217">
        <v>46011.0</v>
      </c>
      <c r="E840" s="218">
        <v>15000.0</v>
      </c>
      <c r="F840" s="219"/>
      <c r="G840" s="213">
        <f t="shared" si="4"/>
        <v>15000</v>
      </c>
      <c r="H840" s="94"/>
      <c r="I840" s="94"/>
      <c r="J840" s="94"/>
      <c r="K840" s="94"/>
    </row>
    <row r="841" ht="22.5" customHeight="1">
      <c r="A841" s="37">
        <v>839.0</v>
      </c>
      <c r="B841" s="221" t="s">
        <v>899</v>
      </c>
      <c r="C841" s="208"/>
      <c r="D841" s="220">
        <v>46011.0</v>
      </c>
      <c r="E841" s="215">
        <v>15000.0</v>
      </c>
      <c r="F841" s="216"/>
      <c r="G841" s="210">
        <f t="shared" si="4"/>
        <v>15000</v>
      </c>
      <c r="H841" s="94"/>
      <c r="I841" s="94"/>
      <c r="J841" s="94"/>
      <c r="K841" s="94"/>
    </row>
    <row r="842" ht="22.5" customHeight="1">
      <c r="A842" s="55">
        <v>840.0</v>
      </c>
      <c r="B842" s="214" t="s">
        <v>807</v>
      </c>
      <c r="C842" s="190"/>
      <c r="D842" s="217">
        <v>46011.0</v>
      </c>
      <c r="E842" s="218">
        <v>11000.0</v>
      </c>
      <c r="F842" s="219"/>
      <c r="G842" s="213">
        <f t="shared" si="4"/>
        <v>11000</v>
      </c>
      <c r="H842" s="94"/>
      <c r="I842" s="94"/>
      <c r="J842" s="94"/>
      <c r="K842" s="94"/>
    </row>
    <row r="843" ht="22.5" customHeight="1">
      <c r="A843" s="37">
        <v>841.0</v>
      </c>
      <c r="B843" s="221" t="s">
        <v>362</v>
      </c>
      <c r="C843" s="208"/>
      <c r="D843" s="220">
        <v>46011.0</v>
      </c>
      <c r="E843" s="215">
        <v>47040.0</v>
      </c>
      <c r="F843" s="216"/>
      <c r="G843" s="210">
        <f t="shared" si="4"/>
        <v>47040</v>
      </c>
      <c r="H843" s="94"/>
      <c r="I843" s="94"/>
      <c r="J843" s="94"/>
      <c r="K843" s="94"/>
    </row>
    <row r="844" ht="22.5" customHeight="1">
      <c r="A844" s="55">
        <v>842.0</v>
      </c>
      <c r="B844" s="214" t="s">
        <v>750</v>
      </c>
      <c r="C844" s="190"/>
      <c r="D844" s="217">
        <v>46011.0</v>
      </c>
      <c r="E844" s="218">
        <v>15000.0</v>
      </c>
      <c r="F844" s="219"/>
      <c r="G844" s="213">
        <f t="shared" si="4"/>
        <v>15000</v>
      </c>
      <c r="H844" s="94"/>
      <c r="I844" s="94"/>
      <c r="J844" s="94"/>
      <c r="K844" s="94"/>
    </row>
    <row r="845" ht="22.5" customHeight="1">
      <c r="A845" s="37">
        <v>843.0</v>
      </c>
      <c r="B845" s="221" t="s">
        <v>686</v>
      </c>
      <c r="C845" s="208"/>
      <c r="D845" s="220">
        <v>46011.0</v>
      </c>
      <c r="E845" s="215">
        <v>293930.0</v>
      </c>
      <c r="F845" s="216"/>
      <c r="G845" s="210">
        <f t="shared" si="4"/>
        <v>293930</v>
      </c>
      <c r="H845" s="94"/>
      <c r="I845" s="94"/>
      <c r="J845" s="94"/>
      <c r="K845" s="94"/>
    </row>
    <row r="846" ht="22.5" customHeight="1">
      <c r="A846" s="55">
        <v>844.0</v>
      </c>
      <c r="B846" s="214" t="s">
        <v>839</v>
      </c>
      <c r="C846" s="190"/>
      <c r="D846" s="217">
        <v>46011.0</v>
      </c>
      <c r="E846" s="218">
        <v>11500.0</v>
      </c>
      <c r="F846" s="219"/>
      <c r="G846" s="213">
        <f t="shared" si="4"/>
        <v>11500</v>
      </c>
      <c r="H846" s="94"/>
      <c r="I846" s="94"/>
      <c r="J846" s="94"/>
      <c r="K846" s="94"/>
    </row>
    <row r="847" ht="22.5" customHeight="1">
      <c r="A847" s="37">
        <v>845.0</v>
      </c>
      <c r="B847" s="221" t="s">
        <v>807</v>
      </c>
      <c r="C847" s="208"/>
      <c r="D847" s="220">
        <v>46011.0</v>
      </c>
      <c r="E847" s="215">
        <v>30920.0</v>
      </c>
      <c r="F847" s="216"/>
      <c r="G847" s="210">
        <f t="shared" si="4"/>
        <v>30920</v>
      </c>
      <c r="H847" s="94"/>
      <c r="I847" s="94"/>
      <c r="J847" s="94"/>
      <c r="K847" s="94"/>
    </row>
    <row r="848" ht="22.5" customHeight="1">
      <c r="A848" s="55">
        <v>846.0</v>
      </c>
      <c r="B848" s="214" t="s">
        <v>900</v>
      </c>
      <c r="C848" s="190"/>
      <c r="D848" s="217">
        <v>46012.0</v>
      </c>
      <c r="E848" s="218">
        <v>44999.0</v>
      </c>
      <c r="F848" s="219"/>
      <c r="G848" s="213">
        <f t="shared" si="4"/>
        <v>44999</v>
      </c>
      <c r="H848" s="94"/>
      <c r="I848" s="94"/>
      <c r="J848" s="94"/>
      <c r="K848" s="94"/>
    </row>
    <row r="849" ht="22.5" customHeight="1">
      <c r="A849" s="37">
        <v>847.0</v>
      </c>
      <c r="B849" s="221" t="s">
        <v>784</v>
      </c>
      <c r="C849" s="208"/>
      <c r="D849" s="220">
        <v>46012.0</v>
      </c>
      <c r="E849" s="215">
        <v>11213.71</v>
      </c>
      <c r="F849" s="216"/>
      <c r="G849" s="210">
        <f t="shared" si="4"/>
        <v>11213.71</v>
      </c>
      <c r="H849" s="94"/>
      <c r="I849" s="94"/>
      <c r="J849" s="94"/>
      <c r="K849" s="94"/>
    </row>
    <row r="850" ht="22.5" customHeight="1">
      <c r="A850" s="55">
        <v>848.0</v>
      </c>
      <c r="B850" s="214" t="s">
        <v>855</v>
      </c>
      <c r="C850" s="190"/>
      <c r="D850" s="217">
        <v>46012.0</v>
      </c>
      <c r="E850" s="218">
        <v>1642.15</v>
      </c>
      <c r="F850" s="219"/>
      <c r="G850" s="213">
        <f t="shared" si="4"/>
        <v>1642.15</v>
      </c>
      <c r="H850" s="94"/>
      <c r="I850" s="94"/>
      <c r="J850" s="94"/>
      <c r="K850" s="94"/>
    </row>
    <row r="851" ht="22.5" customHeight="1">
      <c r="A851" s="37">
        <v>849.0</v>
      </c>
      <c r="B851" s="221" t="s">
        <v>855</v>
      </c>
      <c r="C851" s="208"/>
      <c r="D851" s="220">
        <v>46013.0</v>
      </c>
      <c r="E851" s="215">
        <v>2052.94</v>
      </c>
      <c r="F851" s="216"/>
      <c r="G851" s="210">
        <f t="shared" si="4"/>
        <v>2052.94</v>
      </c>
      <c r="H851" s="94"/>
      <c r="I851" s="94"/>
      <c r="J851" s="94"/>
      <c r="K851" s="94"/>
    </row>
    <row r="852" ht="22.5" customHeight="1">
      <c r="A852" s="55">
        <v>850.0</v>
      </c>
      <c r="B852" s="214" t="s">
        <v>901</v>
      </c>
      <c r="C852" s="190"/>
      <c r="D852" s="217">
        <v>46013.0</v>
      </c>
      <c r="E852" s="218">
        <v>12000.0</v>
      </c>
      <c r="F852" s="219"/>
      <c r="G852" s="213">
        <f t="shared" si="4"/>
        <v>12000</v>
      </c>
      <c r="H852" s="94"/>
      <c r="I852" s="94"/>
      <c r="J852" s="94"/>
      <c r="K852" s="94"/>
    </row>
    <row r="853" ht="22.5" customHeight="1">
      <c r="A853" s="37">
        <v>851.0</v>
      </c>
      <c r="B853" s="221" t="s">
        <v>902</v>
      </c>
      <c r="C853" s="208"/>
      <c r="D853" s="220">
        <v>46013.0</v>
      </c>
      <c r="E853" s="215">
        <v>18000.0</v>
      </c>
      <c r="F853" s="216"/>
      <c r="G853" s="210">
        <f t="shared" si="4"/>
        <v>18000</v>
      </c>
      <c r="H853" s="94"/>
      <c r="I853" s="94"/>
      <c r="J853" s="94"/>
      <c r="K853" s="94"/>
    </row>
    <row r="854" ht="22.5" customHeight="1">
      <c r="A854" s="55">
        <v>852.0</v>
      </c>
      <c r="B854" s="214" t="s">
        <v>762</v>
      </c>
      <c r="C854" s="190"/>
      <c r="D854" s="217">
        <v>46013.0</v>
      </c>
      <c r="E854" s="218">
        <v>3224.0</v>
      </c>
      <c r="F854" s="219"/>
      <c r="G854" s="213">
        <f t="shared" si="4"/>
        <v>3224</v>
      </c>
      <c r="H854" s="94"/>
      <c r="I854" s="94"/>
      <c r="J854" s="94"/>
      <c r="K854" s="94"/>
    </row>
    <row r="855" ht="22.5" customHeight="1">
      <c r="A855" s="37">
        <v>853.0</v>
      </c>
      <c r="B855" s="221" t="s">
        <v>872</v>
      </c>
      <c r="C855" s="208"/>
      <c r="D855" s="220">
        <v>46013.0</v>
      </c>
      <c r="E855" s="215">
        <v>15873.0</v>
      </c>
      <c r="F855" s="216"/>
      <c r="G855" s="210">
        <f t="shared" si="4"/>
        <v>15873</v>
      </c>
      <c r="H855" s="94"/>
      <c r="I855" s="94"/>
      <c r="J855" s="94"/>
      <c r="K855" s="94"/>
    </row>
    <row r="856" ht="22.5" customHeight="1">
      <c r="A856" s="55">
        <v>854.0</v>
      </c>
      <c r="B856" s="214" t="s">
        <v>846</v>
      </c>
      <c r="C856" s="190"/>
      <c r="D856" s="217">
        <v>46015.0</v>
      </c>
      <c r="E856" s="218">
        <v>64800.0</v>
      </c>
      <c r="F856" s="219"/>
      <c r="G856" s="213">
        <f t="shared" si="4"/>
        <v>64800</v>
      </c>
      <c r="H856" s="94"/>
      <c r="I856" s="94"/>
      <c r="J856" s="94"/>
      <c r="K856" s="94"/>
    </row>
    <row r="857" ht="22.5" customHeight="1">
      <c r="A857" s="37">
        <v>855.0</v>
      </c>
      <c r="B857" s="221" t="s">
        <v>876</v>
      </c>
      <c r="C857" s="208"/>
      <c r="D857" s="220">
        <v>46015.0</v>
      </c>
      <c r="E857" s="215">
        <v>9340.0</v>
      </c>
      <c r="F857" s="216"/>
      <c r="G857" s="210">
        <f t="shared" si="4"/>
        <v>9340</v>
      </c>
      <c r="H857" s="94"/>
      <c r="I857" s="94"/>
      <c r="J857" s="94"/>
      <c r="K857" s="94"/>
    </row>
    <row r="858" ht="22.5" customHeight="1">
      <c r="A858" s="55">
        <v>856.0</v>
      </c>
      <c r="B858" s="214" t="s">
        <v>617</v>
      </c>
      <c r="C858" s="190"/>
      <c r="D858" s="217">
        <v>46015.0</v>
      </c>
      <c r="E858" s="218">
        <v>7434.0</v>
      </c>
      <c r="F858" s="219"/>
      <c r="G858" s="213">
        <f t="shared" si="4"/>
        <v>7434</v>
      </c>
      <c r="H858" s="94"/>
      <c r="I858" s="94"/>
      <c r="J858" s="94"/>
      <c r="K858" s="94"/>
    </row>
    <row r="859" ht="22.5" customHeight="1">
      <c r="A859" s="37">
        <v>857.0</v>
      </c>
      <c r="B859" s="221" t="s">
        <v>890</v>
      </c>
      <c r="C859" s="208"/>
      <c r="D859" s="220">
        <v>46015.0</v>
      </c>
      <c r="E859" s="215">
        <v>7000.0</v>
      </c>
      <c r="F859" s="216"/>
      <c r="G859" s="210">
        <f t="shared" si="4"/>
        <v>7000</v>
      </c>
      <c r="H859" s="94"/>
      <c r="I859" s="94"/>
      <c r="J859" s="94"/>
      <c r="K859" s="94"/>
    </row>
    <row r="860" ht="22.5" customHeight="1">
      <c r="A860" s="55">
        <v>858.0</v>
      </c>
      <c r="B860" s="214" t="s">
        <v>903</v>
      </c>
      <c r="C860" s="190"/>
      <c r="D860" s="217">
        <v>46015.0</v>
      </c>
      <c r="E860" s="218">
        <v>7000.0</v>
      </c>
      <c r="F860" s="219"/>
      <c r="G860" s="213">
        <f t="shared" si="4"/>
        <v>7000</v>
      </c>
      <c r="H860" s="94"/>
      <c r="I860" s="94"/>
      <c r="J860" s="94"/>
      <c r="K860" s="94"/>
    </row>
    <row r="861" ht="22.5" customHeight="1">
      <c r="A861" s="37">
        <v>859.0</v>
      </c>
      <c r="B861" s="221" t="s">
        <v>826</v>
      </c>
      <c r="C861" s="208"/>
      <c r="D861" s="220">
        <v>46015.0</v>
      </c>
      <c r="E861" s="215">
        <v>19390.0</v>
      </c>
      <c r="F861" s="216"/>
      <c r="G861" s="210">
        <f t="shared" si="4"/>
        <v>19390</v>
      </c>
      <c r="H861" s="94"/>
      <c r="I861" s="94"/>
      <c r="J861" s="94"/>
      <c r="K861" s="94"/>
    </row>
    <row r="862" ht="22.5" customHeight="1">
      <c r="A862" s="55">
        <v>860.0</v>
      </c>
      <c r="B862" s="214" t="s">
        <v>725</v>
      </c>
      <c r="C862" s="190"/>
      <c r="D862" s="217">
        <v>46015.0</v>
      </c>
      <c r="E862" s="218">
        <v>13280.0</v>
      </c>
      <c r="F862" s="219"/>
      <c r="G862" s="213">
        <f t="shared" si="4"/>
        <v>13280</v>
      </c>
      <c r="H862" s="94"/>
      <c r="I862" s="94"/>
      <c r="J862" s="94"/>
      <c r="K862" s="94"/>
    </row>
    <row r="863" ht="22.5" customHeight="1">
      <c r="A863" s="37">
        <v>861.0</v>
      </c>
      <c r="B863" s="221" t="s">
        <v>892</v>
      </c>
      <c r="C863" s="208"/>
      <c r="D863" s="220">
        <v>46015.0</v>
      </c>
      <c r="E863" s="215">
        <v>371.0</v>
      </c>
      <c r="F863" s="216"/>
      <c r="G863" s="210">
        <f t="shared" si="4"/>
        <v>371</v>
      </c>
      <c r="H863" s="94"/>
      <c r="I863" s="94"/>
      <c r="J863" s="94"/>
      <c r="K863" s="94"/>
    </row>
    <row r="864" ht="22.5" customHeight="1">
      <c r="A864" s="55">
        <v>862.0</v>
      </c>
      <c r="B864" s="214" t="s">
        <v>904</v>
      </c>
      <c r="C864" s="190"/>
      <c r="D864" s="217">
        <v>46015.0</v>
      </c>
      <c r="E864" s="218">
        <v>513.0</v>
      </c>
      <c r="F864" s="219"/>
      <c r="G864" s="213">
        <f t="shared" si="4"/>
        <v>513</v>
      </c>
      <c r="H864" s="94"/>
      <c r="I864" s="94"/>
      <c r="J864" s="94"/>
      <c r="K864" s="94"/>
    </row>
    <row r="865" ht="22.5" customHeight="1">
      <c r="A865" s="37">
        <v>863.0</v>
      </c>
      <c r="B865" s="221" t="s">
        <v>905</v>
      </c>
      <c r="C865" s="208"/>
      <c r="D865" s="220">
        <v>46015.0</v>
      </c>
      <c r="E865" s="215">
        <v>116000.0</v>
      </c>
      <c r="F865" s="216"/>
      <c r="G865" s="210">
        <f t="shared" si="4"/>
        <v>116000</v>
      </c>
      <c r="H865" s="94"/>
      <c r="I865" s="94"/>
      <c r="J865" s="94"/>
      <c r="K865" s="94"/>
    </row>
    <row r="866" ht="22.5" customHeight="1">
      <c r="A866" s="55">
        <v>864.0</v>
      </c>
      <c r="B866" s="214" t="s">
        <v>225</v>
      </c>
      <c r="C866" s="190"/>
      <c r="D866" s="217">
        <v>46015.0</v>
      </c>
      <c r="E866" s="218">
        <v>66437.0</v>
      </c>
      <c r="F866" s="219"/>
      <c r="G866" s="213">
        <f t="shared" si="4"/>
        <v>66437</v>
      </c>
      <c r="H866" s="94"/>
      <c r="I866" s="94"/>
      <c r="J866" s="94"/>
      <c r="K866" s="94"/>
    </row>
    <row r="867" ht="22.5" customHeight="1">
      <c r="A867" s="37">
        <v>865.0</v>
      </c>
      <c r="B867" s="221" t="s">
        <v>855</v>
      </c>
      <c r="C867" s="208"/>
      <c r="D867" s="220">
        <v>46015.0</v>
      </c>
      <c r="E867" s="215">
        <v>1516.68</v>
      </c>
      <c r="F867" s="216"/>
      <c r="G867" s="210">
        <f t="shared" si="4"/>
        <v>1516.68</v>
      </c>
      <c r="H867" s="94"/>
      <c r="I867" s="94"/>
      <c r="J867" s="94"/>
      <c r="K867" s="94"/>
    </row>
    <row r="868" ht="22.5" customHeight="1">
      <c r="A868" s="55">
        <v>866.0</v>
      </c>
      <c r="B868" s="214" t="s">
        <v>836</v>
      </c>
      <c r="C868" s="190"/>
      <c r="D868" s="217">
        <v>46015.0</v>
      </c>
      <c r="E868" s="218">
        <v>21000.0</v>
      </c>
      <c r="F868" s="219"/>
      <c r="G868" s="213">
        <f t="shared" si="4"/>
        <v>21000</v>
      </c>
      <c r="H868" s="94"/>
      <c r="I868" s="94"/>
      <c r="J868" s="94"/>
      <c r="K868" s="94"/>
    </row>
    <row r="869" ht="22.5" customHeight="1">
      <c r="A869" s="37">
        <v>867.0</v>
      </c>
      <c r="B869" s="221" t="s">
        <v>858</v>
      </c>
      <c r="C869" s="208"/>
      <c r="D869" s="220">
        <v>46016.0</v>
      </c>
      <c r="E869" s="215">
        <v>2807.75</v>
      </c>
      <c r="F869" s="216"/>
      <c r="G869" s="210">
        <f t="shared" si="4"/>
        <v>2807.75</v>
      </c>
      <c r="H869" s="94"/>
      <c r="I869" s="94"/>
      <c r="J869" s="94"/>
      <c r="K869" s="94"/>
    </row>
    <row r="870" ht="22.5" customHeight="1">
      <c r="A870" s="55">
        <v>868.0</v>
      </c>
      <c r="B870" s="214" t="s">
        <v>906</v>
      </c>
      <c r="C870" s="190"/>
      <c r="D870" s="217">
        <v>46017.0</v>
      </c>
      <c r="E870" s="218">
        <v>19523.0</v>
      </c>
      <c r="F870" s="219"/>
      <c r="G870" s="213">
        <f t="shared" si="4"/>
        <v>19523</v>
      </c>
      <c r="H870" s="94"/>
      <c r="I870" s="94"/>
      <c r="J870" s="94"/>
      <c r="K870" s="94"/>
    </row>
    <row r="871" ht="22.5" customHeight="1">
      <c r="A871" s="37">
        <v>869.0</v>
      </c>
      <c r="B871" s="221" t="s">
        <v>109</v>
      </c>
      <c r="C871" s="208"/>
      <c r="D871" s="220">
        <v>46017.0</v>
      </c>
      <c r="E871" s="215">
        <v>8086.0</v>
      </c>
      <c r="F871" s="216"/>
      <c r="G871" s="210">
        <f t="shared" si="4"/>
        <v>8086</v>
      </c>
      <c r="H871" s="94"/>
      <c r="I871" s="94"/>
      <c r="J871" s="94"/>
      <c r="K871" s="94"/>
    </row>
    <row r="872" ht="22.5" customHeight="1">
      <c r="A872" s="55">
        <v>870.0</v>
      </c>
      <c r="B872" s="214" t="s">
        <v>839</v>
      </c>
      <c r="C872" s="190"/>
      <c r="D872" s="217">
        <v>46018.0</v>
      </c>
      <c r="E872" s="218">
        <v>14100.0</v>
      </c>
      <c r="F872" s="219"/>
      <c r="G872" s="213">
        <f t="shared" si="4"/>
        <v>14100</v>
      </c>
      <c r="H872" s="94"/>
      <c r="I872" s="94"/>
      <c r="J872" s="94"/>
      <c r="K872" s="94"/>
    </row>
    <row r="873" ht="22.5" customHeight="1">
      <c r="A873" s="37">
        <v>871.0</v>
      </c>
      <c r="B873" s="221" t="s">
        <v>860</v>
      </c>
      <c r="C873" s="208"/>
      <c r="D873" s="220">
        <v>46018.0</v>
      </c>
      <c r="E873" s="215">
        <v>20300.0</v>
      </c>
      <c r="F873" s="216"/>
      <c r="G873" s="210">
        <f t="shared" si="4"/>
        <v>20300</v>
      </c>
      <c r="H873" s="94"/>
      <c r="I873" s="94"/>
      <c r="J873" s="94"/>
      <c r="K873" s="94"/>
    </row>
    <row r="874" ht="22.5" customHeight="1">
      <c r="A874" s="55">
        <v>872.0</v>
      </c>
      <c r="B874" s="214" t="s">
        <v>907</v>
      </c>
      <c r="C874" s="190"/>
      <c r="D874" s="217">
        <v>46018.0</v>
      </c>
      <c r="E874" s="218">
        <v>18700.0</v>
      </c>
      <c r="F874" s="219"/>
      <c r="G874" s="213">
        <f t="shared" si="4"/>
        <v>18700</v>
      </c>
      <c r="H874" s="94"/>
      <c r="I874" s="94"/>
      <c r="J874" s="94"/>
      <c r="K874" s="94"/>
    </row>
    <row r="875" ht="22.5" customHeight="1">
      <c r="A875" s="37">
        <v>873.0</v>
      </c>
      <c r="B875" s="221" t="s">
        <v>863</v>
      </c>
      <c r="C875" s="208"/>
      <c r="D875" s="220">
        <v>46018.0</v>
      </c>
      <c r="E875" s="215">
        <v>8260.0</v>
      </c>
      <c r="F875" s="216"/>
      <c r="G875" s="210">
        <f t="shared" si="4"/>
        <v>8260</v>
      </c>
      <c r="H875" s="94"/>
      <c r="I875" s="94"/>
      <c r="J875" s="94"/>
      <c r="K875" s="94"/>
    </row>
    <row r="876" ht="22.5" customHeight="1">
      <c r="A876" s="55">
        <v>874.0</v>
      </c>
      <c r="B876" s="214" t="s">
        <v>908</v>
      </c>
      <c r="C876" s="190"/>
      <c r="D876" s="217">
        <v>46018.0</v>
      </c>
      <c r="E876" s="218">
        <v>14000.0</v>
      </c>
      <c r="F876" s="219"/>
      <c r="G876" s="213">
        <f t="shared" si="4"/>
        <v>14000</v>
      </c>
      <c r="H876" s="94"/>
      <c r="I876" s="94"/>
      <c r="J876" s="94"/>
      <c r="K876" s="94"/>
    </row>
    <row r="877" ht="22.5" customHeight="1">
      <c r="A877" s="37">
        <v>875.0</v>
      </c>
      <c r="B877" s="221" t="s">
        <v>909</v>
      </c>
      <c r="C877" s="208"/>
      <c r="D877" s="220">
        <v>46018.0</v>
      </c>
      <c r="E877" s="215">
        <v>19500.0</v>
      </c>
      <c r="F877" s="216"/>
      <c r="G877" s="210">
        <f t="shared" si="4"/>
        <v>19500</v>
      </c>
      <c r="H877" s="94"/>
      <c r="I877" s="94"/>
      <c r="J877" s="94"/>
      <c r="K877" s="94"/>
    </row>
    <row r="878" ht="22.5" customHeight="1">
      <c r="A878" s="55">
        <v>876.0</v>
      </c>
      <c r="B878" s="214" t="s">
        <v>359</v>
      </c>
      <c r="C878" s="190"/>
      <c r="D878" s="217">
        <v>46018.0</v>
      </c>
      <c r="E878" s="218">
        <v>15000.0</v>
      </c>
      <c r="F878" s="219"/>
      <c r="G878" s="213">
        <f t="shared" si="4"/>
        <v>15000</v>
      </c>
      <c r="H878" s="94"/>
      <c r="I878" s="94"/>
      <c r="J878" s="94"/>
      <c r="K878" s="94"/>
    </row>
    <row r="879" ht="22.5" customHeight="1">
      <c r="A879" s="37">
        <v>877.0</v>
      </c>
      <c r="B879" s="221" t="s">
        <v>765</v>
      </c>
      <c r="C879" s="208"/>
      <c r="D879" s="220">
        <v>46018.0</v>
      </c>
      <c r="E879" s="215">
        <v>3908.0</v>
      </c>
      <c r="F879" s="216"/>
      <c r="G879" s="210">
        <f t="shared" si="4"/>
        <v>3908</v>
      </c>
      <c r="H879" s="94"/>
      <c r="I879" s="94"/>
      <c r="J879" s="94"/>
      <c r="K879" s="94"/>
    </row>
    <row r="880" ht="22.5" customHeight="1">
      <c r="A880" s="55">
        <v>878.0</v>
      </c>
      <c r="B880" s="214" t="s">
        <v>910</v>
      </c>
      <c r="C880" s="190"/>
      <c r="D880" s="217">
        <v>46018.0</v>
      </c>
      <c r="E880" s="218">
        <v>1568.0</v>
      </c>
      <c r="F880" s="219"/>
      <c r="G880" s="213">
        <f t="shared" si="4"/>
        <v>1568</v>
      </c>
      <c r="H880" s="94"/>
      <c r="I880" s="94"/>
      <c r="J880" s="94"/>
      <c r="K880" s="94"/>
    </row>
    <row r="881" ht="22.5" customHeight="1">
      <c r="A881" s="37">
        <v>879.0</v>
      </c>
      <c r="B881" s="221" t="s">
        <v>911</v>
      </c>
      <c r="C881" s="208"/>
      <c r="D881" s="220">
        <v>46018.0</v>
      </c>
      <c r="E881" s="215">
        <v>20000.0</v>
      </c>
      <c r="F881" s="216"/>
      <c r="G881" s="210">
        <f t="shared" si="4"/>
        <v>20000</v>
      </c>
      <c r="H881" s="94"/>
      <c r="I881" s="94"/>
      <c r="J881" s="94"/>
      <c r="K881" s="94"/>
    </row>
    <row r="882" ht="22.5" customHeight="1">
      <c r="A882" s="55">
        <v>880.0</v>
      </c>
      <c r="B882" s="214" t="s">
        <v>142</v>
      </c>
      <c r="C882" s="190"/>
      <c r="D882" s="217">
        <v>46018.0</v>
      </c>
      <c r="E882" s="218">
        <v>49000.0</v>
      </c>
      <c r="F882" s="219"/>
      <c r="G882" s="213">
        <f t="shared" si="4"/>
        <v>49000</v>
      </c>
      <c r="H882" s="94"/>
      <c r="I882" s="94"/>
      <c r="J882" s="94"/>
      <c r="K882" s="94"/>
    </row>
    <row r="883" ht="22.5" customHeight="1">
      <c r="A883" s="37">
        <v>881.0</v>
      </c>
      <c r="B883" s="221" t="s">
        <v>435</v>
      </c>
      <c r="C883" s="221" t="s">
        <v>712</v>
      </c>
      <c r="D883" s="220">
        <v>46020.0</v>
      </c>
      <c r="E883" s="215">
        <v>500000.0</v>
      </c>
      <c r="F883" s="216"/>
      <c r="G883" s="210">
        <f t="shared" si="4"/>
        <v>500000</v>
      </c>
      <c r="H883" s="94"/>
      <c r="I883" s="94"/>
      <c r="J883" s="94"/>
      <c r="K883" s="94"/>
    </row>
    <row r="884" ht="22.5" customHeight="1">
      <c r="A884" s="55">
        <v>882.0</v>
      </c>
      <c r="B884" s="214" t="s">
        <v>872</v>
      </c>
      <c r="C884" s="190"/>
      <c r="D884" s="217">
        <v>46021.0</v>
      </c>
      <c r="E884" s="218">
        <v>40242.0</v>
      </c>
      <c r="F884" s="219"/>
      <c r="G884" s="210">
        <f t="shared" si="4"/>
        <v>40242</v>
      </c>
      <c r="H884" s="94"/>
      <c r="I884" s="94"/>
      <c r="J884" s="94"/>
      <c r="K884" s="94"/>
    </row>
    <row r="885" ht="22.5" customHeight="1">
      <c r="A885" s="37">
        <v>883.0</v>
      </c>
      <c r="B885" s="221" t="s">
        <v>762</v>
      </c>
      <c r="C885" s="208"/>
      <c r="D885" s="220">
        <v>46021.0</v>
      </c>
      <c r="E885" s="215">
        <v>1944.0</v>
      </c>
      <c r="F885" s="216"/>
      <c r="G885" s="210">
        <f t="shared" si="4"/>
        <v>1944</v>
      </c>
      <c r="H885" s="94"/>
      <c r="I885" s="94"/>
      <c r="J885" s="94"/>
      <c r="K885" s="94"/>
    </row>
    <row r="886" ht="22.5" customHeight="1">
      <c r="A886" s="55">
        <v>884.0</v>
      </c>
      <c r="B886" s="214" t="s">
        <v>36</v>
      </c>
      <c r="C886" s="190"/>
      <c r="D886" s="217">
        <v>46021.0</v>
      </c>
      <c r="E886" s="218">
        <v>27627.0</v>
      </c>
      <c r="F886" s="219"/>
      <c r="G886" s="210">
        <f t="shared" si="4"/>
        <v>27627</v>
      </c>
      <c r="H886" s="94"/>
      <c r="I886" s="94"/>
      <c r="J886" s="94"/>
      <c r="K886" s="94"/>
    </row>
    <row r="887" ht="22.5" customHeight="1">
      <c r="A887" s="37">
        <v>885.0</v>
      </c>
      <c r="B887" s="221" t="s">
        <v>912</v>
      </c>
      <c r="C887" s="208"/>
      <c r="D887" s="220">
        <v>46021.0</v>
      </c>
      <c r="E887" s="215">
        <v>1265.0</v>
      </c>
      <c r="F887" s="216"/>
      <c r="G887" s="210">
        <f t="shared" si="4"/>
        <v>1265</v>
      </c>
      <c r="H887" s="94"/>
      <c r="I887" s="94"/>
      <c r="J887" s="94"/>
      <c r="K887" s="94"/>
    </row>
    <row r="888" ht="22.5" customHeight="1">
      <c r="A888" s="55">
        <v>886.0</v>
      </c>
      <c r="B888" s="214" t="s">
        <v>913</v>
      </c>
      <c r="C888" s="190"/>
      <c r="D888" s="217">
        <v>46021.0</v>
      </c>
      <c r="E888" s="218">
        <v>15000.0</v>
      </c>
      <c r="F888" s="219"/>
      <c r="G888" s="210">
        <f t="shared" si="4"/>
        <v>15000</v>
      </c>
      <c r="H888" s="94"/>
      <c r="I888" s="94"/>
      <c r="J888" s="94"/>
      <c r="K888" s="94"/>
    </row>
    <row r="889" ht="22.5" customHeight="1">
      <c r="A889" s="37">
        <v>887.0</v>
      </c>
      <c r="B889" s="221" t="s">
        <v>914</v>
      </c>
      <c r="C889" s="208"/>
      <c r="D889" s="220">
        <v>46021.0</v>
      </c>
      <c r="E889" s="215">
        <v>40000.0</v>
      </c>
      <c r="F889" s="216"/>
      <c r="G889" s="210">
        <f t="shared" si="4"/>
        <v>40000</v>
      </c>
      <c r="H889" s="94"/>
      <c r="I889" s="94"/>
      <c r="J889" s="94"/>
      <c r="K889" s="94"/>
    </row>
    <row r="890" ht="22.5" customHeight="1">
      <c r="A890" s="55">
        <v>888.0</v>
      </c>
      <c r="B890" s="214" t="s">
        <v>915</v>
      </c>
      <c r="C890" s="190"/>
      <c r="D890" s="217">
        <v>46021.0</v>
      </c>
      <c r="E890" s="218">
        <v>38000.0</v>
      </c>
      <c r="F890" s="219"/>
      <c r="G890" s="210">
        <f t="shared" si="4"/>
        <v>38000</v>
      </c>
      <c r="H890" s="94"/>
      <c r="I890" s="94"/>
      <c r="J890" s="94"/>
      <c r="K890" s="94"/>
    </row>
    <row r="891" ht="22.5" customHeight="1">
      <c r="A891" s="37">
        <v>889.0</v>
      </c>
      <c r="B891" s="221" t="s">
        <v>916</v>
      </c>
      <c r="C891" s="208"/>
      <c r="D891" s="220">
        <v>46021.0</v>
      </c>
      <c r="E891" s="215">
        <v>18000.0</v>
      </c>
      <c r="F891" s="216"/>
      <c r="G891" s="210">
        <f t="shared" si="4"/>
        <v>18000</v>
      </c>
      <c r="H891" s="94"/>
      <c r="I891" s="94"/>
      <c r="J891" s="94"/>
      <c r="K891" s="94"/>
    </row>
    <row r="892" ht="22.5" customHeight="1">
      <c r="A892" s="55">
        <v>890.0</v>
      </c>
      <c r="B892" s="214" t="s">
        <v>917</v>
      </c>
      <c r="C892" s="190"/>
      <c r="D892" s="217">
        <v>46021.0</v>
      </c>
      <c r="E892" s="218">
        <v>20000.0</v>
      </c>
      <c r="F892" s="219"/>
      <c r="G892" s="210">
        <f t="shared" si="4"/>
        <v>20000</v>
      </c>
      <c r="H892" s="94"/>
      <c r="I892" s="94"/>
      <c r="J892" s="94"/>
      <c r="K892" s="94"/>
    </row>
    <row r="893" ht="22.5" customHeight="1">
      <c r="A893" s="37">
        <v>891.0</v>
      </c>
      <c r="B893" s="221" t="s">
        <v>918</v>
      </c>
      <c r="C893" s="208"/>
      <c r="D893" s="220">
        <v>46021.0</v>
      </c>
      <c r="E893" s="215">
        <v>2677.22</v>
      </c>
      <c r="F893" s="216"/>
      <c r="G893" s="210">
        <f t="shared" si="4"/>
        <v>2677.22</v>
      </c>
      <c r="H893" s="94"/>
      <c r="I893" s="94"/>
      <c r="J893" s="94"/>
      <c r="K893" s="94"/>
    </row>
    <row r="894" ht="22.5" customHeight="1">
      <c r="A894" s="55">
        <v>892.0</v>
      </c>
      <c r="B894" s="214" t="s">
        <v>780</v>
      </c>
      <c r="C894" s="190"/>
      <c r="D894" s="217">
        <v>46021.0</v>
      </c>
      <c r="E894" s="218">
        <v>2717.66</v>
      </c>
      <c r="F894" s="219"/>
      <c r="G894" s="210">
        <f t="shared" si="4"/>
        <v>2717.66</v>
      </c>
      <c r="H894" s="94"/>
      <c r="I894" s="94"/>
      <c r="J894" s="94"/>
      <c r="K894" s="94"/>
    </row>
    <row r="895" ht="22.5" customHeight="1">
      <c r="A895" s="37">
        <v>893.0</v>
      </c>
      <c r="B895" s="221" t="s">
        <v>852</v>
      </c>
      <c r="C895" s="208"/>
      <c r="D895" s="220">
        <v>46022.0</v>
      </c>
      <c r="E895" s="215">
        <v>20004.0</v>
      </c>
      <c r="F895" s="216"/>
      <c r="G895" s="210">
        <f t="shared" si="4"/>
        <v>20004</v>
      </c>
      <c r="H895" s="94"/>
      <c r="I895" s="94"/>
      <c r="J895" s="94"/>
      <c r="K895" s="94"/>
    </row>
    <row r="896" ht="22.5" customHeight="1">
      <c r="A896" s="55">
        <v>894.0</v>
      </c>
      <c r="B896" s="214" t="s">
        <v>225</v>
      </c>
      <c r="C896" s="190"/>
      <c r="D896" s="217">
        <v>46022.0</v>
      </c>
      <c r="E896" s="218">
        <v>33662.0</v>
      </c>
      <c r="F896" s="219"/>
      <c r="G896" s="210">
        <f t="shared" si="4"/>
        <v>33662</v>
      </c>
      <c r="H896" s="94"/>
      <c r="I896" s="94"/>
      <c r="J896" s="94"/>
      <c r="K896" s="94"/>
    </row>
    <row r="897" ht="22.5" customHeight="1">
      <c r="A897" s="37">
        <v>895.0</v>
      </c>
      <c r="B897" s="221" t="s">
        <v>889</v>
      </c>
      <c r="C897" s="208"/>
      <c r="D897" s="220">
        <v>46022.0</v>
      </c>
      <c r="E897" s="215">
        <v>7010.0</v>
      </c>
      <c r="F897" s="216"/>
      <c r="G897" s="210">
        <f t="shared" si="4"/>
        <v>7010</v>
      </c>
      <c r="H897" s="94"/>
      <c r="I897" s="94"/>
      <c r="J897" s="94"/>
      <c r="K897" s="94"/>
    </row>
    <row r="898" ht="22.5" customHeight="1">
      <c r="A898" s="55">
        <v>896.0</v>
      </c>
      <c r="B898" s="214" t="s">
        <v>804</v>
      </c>
      <c r="C898" s="190"/>
      <c r="D898" s="217">
        <v>46022.0</v>
      </c>
      <c r="E898" s="218">
        <v>1250.0</v>
      </c>
      <c r="F898" s="219"/>
      <c r="G898" s="210">
        <f t="shared" si="4"/>
        <v>1250</v>
      </c>
      <c r="H898" s="94"/>
      <c r="I898" s="94"/>
      <c r="J898" s="94"/>
      <c r="K898" s="94"/>
    </row>
    <row r="899" ht="22.5" customHeight="1">
      <c r="A899" s="37">
        <v>897.0</v>
      </c>
      <c r="B899" s="221" t="s">
        <v>490</v>
      </c>
      <c r="C899" s="208"/>
      <c r="D899" s="209">
        <v>46024.0</v>
      </c>
      <c r="E899" s="215">
        <v>32400.0</v>
      </c>
      <c r="F899" s="216"/>
      <c r="G899" s="210">
        <f t="shared" si="4"/>
        <v>32400</v>
      </c>
      <c r="H899" s="94"/>
      <c r="I899" s="94"/>
      <c r="J899" s="94"/>
      <c r="K899" s="94"/>
    </row>
    <row r="900" ht="22.5" customHeight="1">
      <c r="A900" s="55">
        <v>898.0</v>
      </c>
      <c r="B900" s="214" t="s">
        <v>708</v>
      </c>
      <c r="C900" s="190"/>
      <c r="D900" s="212">
        <v>46024.0</v>
      </c>
      <c r="E900" s="218">
        <v>15946.0</v>
      </c>
      <c r="F900" s="219"/>
      <c r="G900" s="210">
        <f t="shared" si="4"/>
        <v>15946</v>
      </c>
      <c r="H900" s="94"/>
      <c r="I900" s="94"/>
      <c r="J900" s="94"/>
      <c r="K900" s="94"/>
    </row>
    <row r="901" ht="22.5" customHeight="1">
      <c r="A901" s="37">
        <v>899.0</v>
      </c>
      <c r="B901" s="221" t="s">
        <v>919</v>
      </c>
      <c r="C901" s="208"/>
      <c r="D901" s="209">
        <v>46024.0</v>
      </c>
      <c r="E901" s="215">
        <v>405000.0</v>
      </c>
      <c r="F901" s="216"/>
      <c r="G901" s="210">
        <f t="shared" si="4"/>
        <v>405000</v>
      </c>
      <c r="H901" s="94"/>
      <c r="I901" s="94"/>
      <c r="J901" s="94"/>
      <c r="K901" s="94"/>
    </row>
    <row r="902" ht="22.5" customHeight="1">
      <c r="A902" s="55">
        <v>900.0</v>
      </c>
      <c r="B902" s="214" t="s">
        <v>920</v>
      </c>
      <c r="C902" s="190"/>
      <c r="D902" s="212">
        <v>46024.0</v>
      </c>
      <c r="E902" s="218">
        <v>12000.0</v>
      </c>
      <c r="F902" s="219"/>
      <c r="G902" s="210">
        <f t="shared" si="4"/>
        <v>12000</v>
      </c>
      <c r="H902" s="94"/>
      <c r="I902" s="94"/>
      <c r="J902" s="94"/>
      <c r="K902" s="94"/>
    </row>
    <row r="903" ht="22.5" customHeight="1">
      <c r="A903" s="37">
        <v>901.0</v>
      </c>
      <c r="B903" s="221" t="s">
        <v>855</v>
      </c>
      <c r="C903" s="208"/>
      <c r="D903" s="209">
        <v>46025.0</v>
      </c>
      <c r="E903" s="215">
        <v>1028.08</v>
      </c>
      <c r="F903" s="216"/>
      <c r="G903" s="210">
        <f t="shared" si="4"/>
        <v>1028.08</v>
      </c>
      <c r="H903" s="94"/>
      <c r="I903" s="94"/>
      <c r="J903" s="94"/>
      <c r="K903" s="94"/>
    </row>
    <row r="904" ht="22.5" customHeight="1">
      <c r="A904" s="55">
        <v>902.0</v>
      </c>
      <c r="B904" s="214" t="s">
        <v>852</v>
      </c>
      <c r="C904" s="190"/>
      <c r="D904" s="212">
        <v>46028.0</v>
      </c>
      <c r="E904" s="218">
        <v>54990.0</v>
      </c>
      <c r="F904" s="219"/>
      <c r="G904" s="210">
        <f t="shared" si="4"/>
        <v>54990</v>
      </c>
      <c r="H904" s="94"/>
      <c r="I904" s="94"/>
      <c r="J904" s="94"/>
      <c r="K904" s="94"/>
    </row>
    <row r="905" ht="22.5" customHeight="1">
      <c r="A905" s="37">
        <v>903.0</v>
      </c>
      <c r="B905" s="221" t="s">
        <v>921</v>
      </c>
      <c r="C905" s="208"/>
      <c r="D905" s="209">
        <v>46029.0</v>
      </c>
      <c r="E905" s="215">
        <v>3288.39</v>
      </c>
      <c r="F905" s="216"/>
      <c r="G905" s="210">
        <f t="shared" si="4"/>
        <v>3288.39</v>
      </c>
      <c r="H905" s="94"/>
      <c r="I905" s="94"/>
      <c r="J905" s="94"/>
      <c r="K905" s="94"/>
    </row>
    <row r="906" ht="22.5" customHeight="1">
      <c r="A906" s="55">
        <v>904.0</v>
      </c>
      <c r="B906" s="214" t="s">
        <v>858</v>
      </c>
      <c r="C906" s="190"/>
      <c r="D906" s="212">
        <v>46029.0</v>
      </c>
      <c r="E906" s="218">
        <v>2818.62</v>
      </c>
      <c r="F906" s="219"/>
      <c r="G906" s="210">
        <f t="shared" si="4"/>
        <v>2818.62</v>
      </c>
      <c r="H906" s="94"/>
      <c r="I906" s="94"/>
      <c r="J906" s="94"/>
      <c r="K906" s="94"/>
    </row>
    <row r="907" ht="22.5" customHeight="1">
      <c r="A907" s="37">
        <v>905.0</v>
      </c>
      <c r="B907" s="221" t="s">
        <v>813</v>
      </c>
      <c r="C907" s="208"/>
      <c r="D907" s="209">
        <v>46030.0</v>
      </c>
      <c r="E907" s="215">
        <v>24500.0</v>
      </c>
      <c r="F907" s="216"/>
      <c r="G907" s="210">
        <f t="shared" si="4"/>
        <v>24500</v>
      </c>
      <c r="H907" s="94"/>
      <c r="I907" s="94"/>
      <c r="J907" s="94"/>
      <c r="K907" s="94"/>
    </row>
    <row r="908" ht="22.5" customHeight="1">
      <c r="A908" s="55">
        <v>906.0</v>
      </c>
      <c r="B908" s="214" t="s">
        <v>813</v>
      </c>
      <c r="C908" s="190"/>
      <c r="D908" s="212">
        <v>46030.0</v>
      </c>
      <c r="E908" s="218">
        <v>29999.0</v>
      </c>
      <c r="F908" s="219"/>
      <c r="G908" s="210">
        <f t="shared" si="4"/>
        <v>29999</v>
      </c>
      <c r="H908" s="94"/>
      <c r="I908" s="94"/>
      <c r="J908" s="94"/>
      <c r="K908" s="94"/>
    </row>
    <row r="909" ht="22.5" customHeight="1">
      <c r="A909" s="37">
        <v>907.0</v>
      </c>
      <c r="B909" s="221" t="s">
        <v>890</v>
      </c>
      <c r="C909" s="208"/>
      <c r="D909" s="209">
        <v>46031.0</v>
      </c>
      <c r="E909" s="215">
        <v>7000.0</v>
      </c>
      <c r="F909" s="216"/>
      <c r="G909" s="210">
        <f t="shared" si="4"/>
        <v>7000</v>
      </c>
      <c r="H909" s="94"/>
      <c r="I909" s="94"/>
      <c r="J909" s="94"/>
      <c r="K909" s="94"/>
    </row>
    <row r="910" ht="22.5" customHeight="1">
      <c r="A910" s="55">
        <v>908.0</v>
      </c>
      <c r="B910" s="214" t="s">
        <v>922</v>
      </c>
      <c r="C910" s="190"/>
      <c r="D910" s="212">
        <v>46031.0</v>
      </c>
      <c r="E910" s="218">
        <v>14530.0</v>
      </c>
      <c r="F910" s="219"/>
      <c r="G910" s="210">
        <f t="shared" si="4"/>
        <v>14530</v>
      </c>
      <c r="H910" s="94"/>
      <c r="I910" s="94"/>
      <c r="J910" s="94"/>
      <c r="K910" s="94"/>
    </row>
    <row r="911" ht="22.5" customHeight="1">
      <c r="A911" s="37">
        <v>909.0</v>
      </c>
      <c r="B911" s="221" t="s">
        <v>902</v>
      </c>
      <c r="C911" s="208"/>
      <c r="D911" s="209">
        <v>46031.0</v>
      </c>
      <c r="E911" s="215">
        <v>30000.0</v>
      </c>
      <c r="F911" s="216"/>
      <c r="G911" s="210">
        <f t="shared" si="4"/>
        <v>30000</v>
      </c>
      <c r="H911" s="94"/>
      <c r="I911" s="94"/>
      <c r="J911" s="94"/>
      <c r="K911" s="94"/>
    </row>
    <row r="912" ht="22.5" customHeight="1">
      <c r="A912" s="55">
        <v>910.0</v>
      </c>
      <c r="B912" s="214" t="s">
        <v>892</v>
      </c>
      <c r="C912" s="190"/>
      <c r="D912" s="212">
        <v>46031.0</v>
      </c>
      <c r="E912" s="213">
        <v>950.0</v>
      </c>
      <c r="F912" s="190"/>
      <c r="G912" s="210">
        <f t="shared" si="4"/>
        <v>950</v>
      </c>
      <c r="H912" s="94"/>
      <c r="I912" s="94"/>
      <c r="J912" s="94"/>
      <c r="K912" s="94"/>
    </row>
    <row r="913" ht="22.5" customHeight="1">
      <c r="A913" s="37">
        <v>911.0</v>
      </c>
      <c r="B913" s="221" t="s">
        <v>923</v>
      </c>
      <c r="C913" s="208"/>
      <c r="D913" s="209">
        <v>46031.0</v>
      </c>
      <c r="E913" s="210">
        <v>15000.0</v>
      </c>
      <c r="F913" s="208"/>
      <c r="G913" s="210">
        <f t="shared" si="4"/>
        <v>15000</v>
      </c>
      <c r="H913" s="94"/>
      <c r="I913" s="94"/>
      <c r="J913" s="94"/>
      <c r="K913" s="94"/>
    </row>
    <row r="914" ht="22.5" customHeight="1">
      <c r="A914" s="55">
        <v>912.0</v>
      </c>
      <c r="B914" s="214" t="s">
        <v>924</v>
      </c>
      <c r="C914" s="190"/>
      <c r="D914" s="212">
        <v>46031.0</v>
      </c>
      <c r="E914" s="213">
        <v>450.0</v>
      </c>
      <c r="F914" s="190"/>
      <c r="G914" s="210">
        <f t="shared" si="4"/>
        <v>450</v>
      </c>
      <c r="H914" s="94"/>
      <c r="I914" s="94"/>
      <c r="J914" s="94"/>
      <c r="K914" s="94"/>
    </row>
    <row r="915" ht="22.5" customHeight="1">
      <c r="A915" s="37">
        <v>913.0</v>
      </c>
      <c r="B915" s="221" t="s">
        <v>706</v>
      </c>
      <c r="C915" s="208"/>
      <c r="D915" s="209">
        <v>46031.0</v>
      </c>
      <c r="E915" s="210">
        <v>3454.0</v>
      </c>
      <c r="F915" s="208"/>
      <c r="G915" s="210">
        <f t="shared" si="4"/>
        <v>3454</v>
      </c>
      <c r="H915" s="94"/>
      <c r="I915" s="94"/>
      <c r="J915" s="94"/>
      <c r="K915" s="94"/>
    </row>
    <row r="916" ht="22.5" customHeight="1">
      <c r="A916" s="55">
        <v>914.0</v>
      </c>
      <c r="B916" s="214" t="s">
        <v>925</v>
      </c>
      <c r="C916" s="190"/>
      <c r="D916" s="212">
        <v>46031.0</v>
      </c>
      <c r="E916" s="213">
        <v>9358.0</v>
      </c>
      <c r="F916" s="190"/>
      <c r="G916" s="210">
        <f t="shared" si="4"/>
        <v>9358</v>
      </c>
      <c r="H916" s="94"/>
      <c r="I916" s="94"/>
      <c r="J916" s="94"/>
      <c r="K916" s="94"/>
    </row>
    <row r="917" ht="22.5" customHeight="1">
      <c r="A917" s="37">
        <v>915.0</v>
      </c>
      <c r="B917" s="221" t="s">
        <v>346</v>
      </c>
      <c r="C917" s="208"/>
      <c r="D917" s="209">
        <v>46031.0</v>
      </c>
      <c r="E917" s="210">
        <v>1650.0</v>
      </c>
      <c r="F917" s="208"/>
      <c r="G917" s="210">
        <f t="shared" si="4"/>
        <v>1650</v>
      </c>
      <c r="H917" s="94"/>
      <c r="I917" s="94"/>
      <c r="J917" s="94"/>
      <c r="K917" s="94"/>
    </row>
    <row r="918" ht="22.5" customHeight="1">
      <c r="A918" s="55">
        <v>916.0</v>
      </c>
      <c r="B918" s="214" t="s">
        <v>53</v>
      </c>
      <c r="C918" s="190"/>
      <c r="D918" s="212">
        <v>46032.0</v>
      </c>
      <c r="E918" s="213">
        <v>630756.0</v>
      </c>
      <c r="F918" s="190"/>
      <c r="G918" s="210">
        <f t="shared" si="4"/>
        <v>630756</v>
      </c>
      <c r="H918" s="94"/>
      <c r="I918" s="94"/>
      <c r="J918" s="94"/>
      <c r="K918" s="94"/>
    </row>
    <row r="919" ht="22.5" customHeight="1">
      <c r="A919" s="37">
        <v>917.0</v>
      </c>
      <c r="B919" s="221" t="s">
        <v>784</v>
      </c>
      <c r="C919" s="208"/>
      <c r="D919" s="209">
        <v>46034.0</v>
      </c>
      <c r="E919" s="210">
        <v>1880.99</v>
      </c>
      <c r="F919" s="208"/>
      <c r="G919" s="210">
        <f t="shared" si="4"/>
        <v>1880.99</v>
      </c>
      <c r="H919" s="94"/>
      <c r="I919" s="94"/>
      <c r="J919" s="94"/>
      <c r="K919" s="94"/>
    </row>
    <row r="920" ht="22.5" customHeight="1">
      <c r="A920" s="55">
        <v>918.0</v>
      </c>
      <c r="B920" s="214" t="s">
        <v>118</v>
      </c>
      <c r="C920" s="190"/>
      <c r="D920" s="212">
        <v>46034.0</v>
      </c>
      <c r="E920" s="213">
        <v>1958.84</v>
      </c>
      <c r="F920" s="190"/>
      <c r="G920" s="210">
        <f t="shared" si="4"/>
        <v>1958.84</v>
      </c>
      <c r="H920" s="94"/>
      <c r="I920" s="94"/>
      <c r="J920" s="94"/>
      <c r="K920" s="94"/>
    </row>
    <row r="921" ht="22.5" customHeight="1">
      <c r="A921" s="37">
        <v>919.0</v>
      </c>
      <c r="B921" s="221" t="s">
        <v>926</v>
      </c>
      <c r="C921" s="208"/>
      <c r="D921" s="209">
        <v>46036.0</v>
      </c>
      <c r="E921" s="210">
        <v>25000.0</v>
      </c>
      <c r="F921" s="208"/>
      <c r="G921" s="210">
        <f t="shared" si="4"/>
        <v>25000</v>
      </c>
      <c r="H921" s="94"/>
      <c r="I921" s="94"/>
      <c r="J921" s="94"/>
      <c r="K921" s="94"/>
    </row>
    <row r="922" ht="22.5" customHeight="1">
      <c r="A922" s="55">
        <v>920.0</v>
      </c>
      <c r="B922" s="214" t="s">
        <v>927</v>
      </c>
      <c r="C922" s="190"/>
      <c r="D922" s="212">
        <v>46036.0</v>
      </c>
      <c r="E922" s="213">
        <v>70000.0</v>
      </c>
      <c r="F922" s="190"/>
      <c r="G922" s="210">
        <f t="shared" si="4"/>
        <v>70000</v>
      </c>
      <c r="H922" s="94"/>
      <c r="I922" s="94"/>
      <c r="J922" s="94"/>
      <c r="K922" s="94"/>
    </row>
    <row r="923" ht="22.5" customHeight="1">
      <c r="A923" s="37">
        <v>921.0</v>
      </c>
      <c r="B923" s="221" t="s">
        <v>876</v>
      </c>
      <c r="C923" s="208"/>
      <c r="D923" s="209">
        <v>46036.0</v>
      </c>
      <c r="E923" s="210">
        <v>4450.0</v>
      </c>
      <c r="F923" s="208"/>
      <c r="G923" s="210">
        <f t="shared" si="4"/>
        <v>4450</v>
      </c>
      <c r="H923" s="94"/>
      <c r="I923" s="94"/>
      <c r="J923" s="94"/>
      <c r="K923" s="94"/>
    </row>
    <row r="924" ht="22.5" customHeight="1">
      <c r="A924" s="55">
        <v>922.0</v>
      </c>
      <c r="B924" s="214" t="s">
        <v>928</v>
      </c>
      <c r="C924" s="190"/>
      <c r="D924" s="212">
        <v>46036.0</v>
      </c>
      <c r="E924" s="213">
        <v>20000.0</v>
      </c>
      <c r="F924" s="190"/>
      <c r="G924" s="210">
        <f t="shared" si="4"/>
        <v>20000</v>
      </c>
      <c r="H924" s="94"/>
      <c r="I924" s="94"/>
      <c r="J924" s="94"/>
      <c r="K924" s="94"/>
    </row>
    <row r="925" ht="22.5" customHeight="1">
      <c r="A925" s="37">
        <v>923.0</v>
      </c>
      <c r="B925" s="221" t="s">
        <v>109</v>
      </c>
      <c r="C925" s="208"/>
      <c r="D925" s="209">
        <v>46036.0</v>
      </c>
      <c r="E925" s="210">
        <v>14534.75</v>
      </c>
      <c r="F925" s="208"/>
      <c r="G925" s="210">
        <f t="shared" si="4"/>
        <v>14534.75</v>
      </c>
      <c r="H925" s="94"/>
      <c r="I925" s="94"/>
      <c r="J925" s="94"/>
      <c r="K925" s="94"/>
    </row>
    <row r="926" ht="22.5" customHeight="1">
      <c r="A926" s="55">
        <v>924.0</v>
      </c>
      <c r="B926" s="214" t="s">
        <v>225</v>
      </c>
      <c r="C926" s="190"/>
      <c r="D926" s="212">
        <v>46036.0</v>
      </c>
      <c r="E926" s="213">
        <v>57812.0</v>
      </c>
      <c r="F926" s="190"/>
      <c r="G926" s="210">
        <f t="shared" si="4"/>
        <v>57812</v>
      </c>
      <c r="H926" s="94"/>
      <c r="I926" s="94"/>
      <c r="J926" s="94"/>
      <c r="K926" s="94"/>
    </row>
    <row r="927" ht="22.5" customHeight="1">
      <c r="A927" s="37">
        <v>925.0</v>
      </c>
      <c r="B927" s="221" t="s">
        <v>765</v>
      </c>
      <c r="C927" s="208"/>
      <c r="D927" s="209">
        <v>46036.0</v>
      </c>
      <c r="E927" s="210">
        <v>10041.0</v>
      </c>
      <c r="F927" s="208"/>
      <c r="G927" s="210">
        <f t="shared" si="4"/>
        <v>10041</v>
      </c>
      <c r="H927" s="94"/>
      <c r="I927" s="94"/>
      <c r="J927" s="94"/>
      <c r="K927" s="94"/>
    </row>
    <row r="928" ht="22.5" customHeight="1">
      <c r="A928" s="55">
        <v>926.0</v>
      </c>
      <c r="B928" s="214" t="s">
        <v>863</v>
      </c>
      <c r="C928" s="190"/>
      <c r="D928" s="212">
        <v>46036.0</v>
      </c>
      <c r="E928" s="213">
        <v>21200.0</v>
      </c>
      <c r="F928" s="190"/>
      <c r="G928" s="210">
        <f t="shared" si="4"/>
        <v>21200</v>
      </c>
      <c r="H928" s="94"/>
      <c r="I928" s="94"/>
      <c r="J928" s="94"/>
      <c r="K928" s="94"/>
    </row>
    <row r="929" ht="22.5" customHeight="1">
      <c r="A929" s="37">
        <v>927.0</v>
      </c>
      <c r="B929" s="221" t="s">
        <v>929</v>
      </c>
      <c r="C929" s="208"/>
      <c r="D929" s="209">
        <v>46036.0</v>
      </c>
      <c r="E929" s="210">
        <v>8000.0</v>
      </c>
      <c r="F929" s="208"/>
      <c r="G929" s="210">
        <f t="shared" si="4"/>
        <v>8000</v>
      </c>
      <c r="H929" s="94"/>
      <c r="I929" s="94"/>
      <c r="J929" s="94"/>
      <c r="K929" s="94"/>
    </row>
    <row r="930" ht="22.5" customHeight="1">
      <c r="A930" s="55">
        <v>928.0</v>
      </c>
      <c r="B930" s="214" t="s">
        <v>930</v>
      </c>
      <c r="C930" s="190"/>
      <c r="D930" s="212">
        <v>46036.0</v>
      </c>
      <c r="E930" s="213">
        <v>7228.0</v>
      </c>
      <c r="F930" s="190"/>
      <c r="G930" s="210">
        <f t="shared" si="4"/>
        <v>7228</v>
      </c>
      <c r="H930" s="94"/>
      <c r="I930" s="94"/>
      <c r="J930" s="94"/>
      <c r="K930" s="94"/>
    </row>
    <row r="931" ht="22.5" customHeight="1">
      <c r="A931" s="37">
        <v>929.0</v>
      </c>
      <c r="B931" s="221" t="s">
        <v>931</v>
      </c>
      <c r="C931" s="208"/>
      <c r="D931" s="209">
        <v>46036.0</v>
      </c>
      <c r="E931" s="210">
        <v>10000.0</v>
      </c>
      <c r="F931" s="208"/>
      <c r="G931" s="210">
        <f t="shared" si="4"/>
        <v>10000</v>
      </c>
      <c r="H931" s="94"/>
      <c r="I931" s="94"/>
      <c r="J931" s="94"/>
      <c r="K931" s="94"/>
    </row>
    <row r="932" ht="22.5" customHeight="1">
      <c r="A932" s="55">
        <v>930.0</v>
      </c>
      <c r="B932" s="214" t="s">
        <v>897</v>
      </c>
      <c r="C932" s="190"/>
      <c r="D932" s="212">
        <v>46039.0</v>
      </c>
      <c r="E932" s="213">
        <v>750000.0</v>
      </c>
      <c r="F932" s="190"/>
      <c r="G932" s="210">
        <f t="shared" si="4"/>
        <v>750000</v>
      </c>
      <c r="H932" s="94"/>
      <c r="I932" s="94"/>
      <c r="J932" s="94"/>
      <c r="K932" s="94"/>
    </row>
    <row r="933" ht="22.5" customHeight="1">
      <c r="A933" s="37">
        <v>931.0</v>
      </c>
      <c r="B933" s="221" t="s">
        <v>435</v>
      </c>
      <c r="C933" s="208"/>
      <c r="D933" s="209">
        <v>46039.0</v>
      </c>
      <c r="E933" s="210">
        <v>250000.0</v>
      </c>
      <c r="F933" s="208"/>
      <c r="G933" s="210">
        <f t="shared" si="4"/>
        <v>250000</v>
      </c>
      <c r="H933" s="94"/>
      <c r="I933" s="94"/>
      <c r="J933" s="94"/>
      <c r="K933" s="94"/>
    </row>
    <row r="934" ht="22.5" customHeight="1">
      <c r="A934" s="55">
        <v>932.0</v>
      </c>
      <c r="B934" s="214" t="s">
        <v>932</v>
      </c>
      <c r="C934" s="190"/>
      <c r="D934" s="212">
        <v>46039.0</v>
      </c>
      <c r="E934" s="213">
        <v>37500.0</v>
      </c>
      <c r="F934" s="190"/>
      <c r="G934" s="210">
        <f t="shared" si="4"/>
        <v>37500</v>
      </c>
      <c r="H934" s="94"/>
      <c r="I934" s="94"/>
      <c r="J934" s="94"/>
      <c r="K934" s="94"/>
    </row>
    <row r="935" ht="22.5" customHeight="1">
      <c r="A935" s="37">
        <v>933.0</v>
      </c>
      <c r="B935" s="221" t="s">
        <v>933</v>
      </c>
      <c r="C935" s="208"/>
      <c r="D935" s="209">
        <v>46040.0</v>
      </c>
      <c r="E935" s="210">
        <v>33502.84</v>
      </c>
      <c r="F935" s="208"/>
      <c r="G935" s="210">
        <f t="shared" si="4"/>
        <v>33502.84</v>
      </c>
      <c r="H935" s="94"/>
      <c r="I935" s="94"/>
      <c r="J935" s="94"/>
      <c r="K935" s="94"/>
    </row>
    <row r="936" ht="22.5" customHeight="1">
      <c r="A936" s="55">
        <v>934.0</v>
      </c>
      <c r="B936" s="214" t="s">
        <v>899</v>
      </c>
      <c r="C936" s="190"/>
      <c r="D936" s="212">
        <v>46041.0</v>
      </c>
      <c r="E936" s="213">
        <v>25000.0</v>
      </c>
      <c r="F936" s="190"/>
      <c r="G936" s="210">
        <f t="shared" si="4"/>
        <v>25000</v>
      </c>
      <c r="H936" s="94"/>
      <c r="I936" s="94"/>
      <c r="J936" s="94"/>
      <c r="K936" s="94"/>
    </row>
    <row r="937" ht="22.5" customHeight="1">
      <c r="A937" s="37">
        <v>935.0</v>
      </c>
      <c r="B937" s="221" t="s">
        <v>899</v>
      </c>
      <c r="C937" s="208"/>
      <c r="D937" s="209">
        <v>46042.0</v>
      </c>
      <c r="E937" s="210">
        <v>12000.0</v>
      </c>
      <c r="F937" s="208"/>
      <c r="G937" s="210">
        <f t="shared" si="4"/>
        <v>12000</v>
      </c>
      <c r="H937" s="94"/>
      <c r="I937" s="94"/>
      <c r="J937" s="94"/>
      <c r="K937" s="94"/>
    </row>
    <row r="938" ht="22.5" customHeight="1">
      <c r="A938" s="55">
        <v>936.0</v>
      </c>
      <c r="B938" s="214" t="s">
        <v>109</v>
      </c>
      <c r="C938" s="190"/>
      <c r="D938" s="212">
        <v>46042.0</v>
      </c>
      <c r="E938" s="213">
        <v>5846.0</v>
      </c>
      <c r="F938" s="190"/>
      <c r="G938" s="210">
        <f t="shared" si="4"/>
        <v>5846</v>
      </c>
      <c r="H938" s="94"/>
      <c r="I938" s="94"/>
      <c r="J938" s="94"/>
      <c r="K938" s="94"/>
    </row>
    <row r="939" ht="22.5" customHeight="1">
      <c r="A939" s="37">
        <v>937.0</v>
      </c>
      <c r="B939" s="221" t="s">
        <v>225</v>
      </c>
      <c r="C939" s="208"/>
      <c r="D939" s="209">
        <v>46042.0</v>
      </c>
      <c r="E939" s="210">
        <v>54901.0</v>
      </c>
      <c r="F939" s="208"/>
      <c r="G939" s="210">
        <f t="shared" si="4"/>
        <v>54901</v>
      </c>
      <c r="H939" s="94"/>
      <c r="I939" s="94"/>
      <c r="J939" s="94"/>
      <c r="K939" s="94"/>
    </row>
    <row r="940" ht="22.5" customHeight="1">
      <c r="A940" s="55">
        <v>938.0</v>
      </c>
      <c r="B940" s="214" t="s">
        <v>892</v>
      </c>
      <c r="C940" s="190"/>
      <c r="D940" s="212">
        <v>46042.0</v>
      </c>
      <c r="E940" s="213">
        <v>950.0</v>
      </c>
      <c r="F940" s="190"/>
      <c r="G940" s="210">
        <f t="shared" si="4"/>
        <v>950</v>
      </c>
      <c r="H940" s="94"/>
      <c r="I940" s="94"/>
      <c r="J940" s="94"/>
      <c r="K940" s="94"/>
    </row>
    <row r="941" ht="22.5" customHeight="1">
      <c r="A941" s="37">
        <v>939.0</v>
      </c>
      <c r="B941" s="221" t="s">
        <v>765</v>
      </c>
      <c r="C941" s="208"/>
      <c r="D941" s="209">
        <v>46042.0</v>
      </c>
      <c r="E941" s="210">
        <v>2123.0</v>
      </c>
      <c r="F941" s="208"/>
      <c r="G941" s="210">
        <f t="shared" si="4"/>
        <v>2123</v>
      </c>
      <c r="H941" s="94"/>
      <c r="I941" s="94"/>
      <c r="J941" s="94"/>
      <c r="K941" s="94"/>
    </row>
    <row r="942" ht="22.5" customHeight="1">
      <c r="A942" s="55">
        <v>940.0</v>
      </c>
      <c r="B942" s="214" t="s">
        <v>904</v>
      </c>
      <c r="C942" s="190"/>
      <c r="D942" s="212">
        <v>46042.0</v>
      </c>
      <c r="E942" s="213">
        <v>96.0</v>
      </c>
      <c r="F942" s="190"/>
      <c r="G942" s="210">
        <f t="shared" si="4"/>
        <v>96</v>
      </c>
      <c r="H942" s="94"/>
      <c r="I942" s="94"/>
      <c r="J942" s="94"/>
      <c r="K942" s="94"/>
    </row>
    <row r="943" ht="22.5" customHeight="1">
      <c r="A943" s="37">
        <v>941.0</v>
      </c>
      <c r="B943" s="221" t="s">
        <v>934</v>
      </c>
      <c r="C943" s="208"/>
      <c r="D943" s="209">
        <v>46042.0</v>
      </c>
      <c r="E943" s="210">
        <v>1569.0</v>
      </c>
      <c r="F943" s="208"/>
      <c r="G943" s="210">
        <f t="shared" si="4"/>
        <v>1569</v>
      </c>
      <c r="H943" s="94"/>
      <c r="I943" s="94"/>
      <c r="J943" s="94"/>
      <c r="K943" s="94"/>
    </row>
    <row r="944" ht="22.5" customHeight="1">
      <c r="A944" s="55">
        <v>942.0</v>
      </c>
      <c r="B944" s="214" t="s">
        <v>935</v>
      </c>
      <c r="C944" s="190"/>
      <c r="D944" s="212">
        <v>46042.0</v>
      </c>
      <c r="E944" s="213">
        <v>3000.0</v>
      </c>
      <c r="F944" s="190"/>
      <c r="G944" s="210">
        <f t="shared" si="4"/>
        <v>3000</v>
      </c>
      <c r="H944" s="94"/>
      <c r="I944" s="94"/>
      <c r="J944" s="94"/>
      <c r="K944" s="94"/>
    </row>
    <row r="945" ht="22.5" customHeight="1">
      <c r="A945" s="37">
        <v>943.0</v>
      </c>
      <c r="B945" s="221" t="s">
        <v>762</v>
      </c>
      <c r="C945" s="208"/>
      <c r="D945" s="209">
        <v>46042.0</v>
      </c>
      <c r="E945" s="210">
        <v>6109.0</v>
      </c>
      <c r="F945" s="208"/>
      <c r="G945" s="210">
        <f t="shared" si="4"/>
        <v>6109</v>
      </c>
      <c r="H945" s="94"/>
      <c r="I945" s="94"/>
      <c r="J945" s="94"/>
      <c r="K945" s="94"/>
    </row>
    <row r="946" ht="22.5" customHeight="1">
      <c r="A946" s="55">
        <v>944.0</v>
      </c>
      <c r="B946" s="214" t="s">
        <v>765</v>
      </c>
      <c r="C946" s="190"/>
      <c r="D946" s="212">
        <v>46043.0</v>
      </c>
      <c r="E946" s="213">
        <v>21140.0</v>
      </c>
      <c r="F946" s="190"/>
      <c r="G946" s="210">
        <f t="shared" si="4"/>
        <v>21140</v>
      </c>
      <c r="H946" s="94"/>
      <c r="I946" s="94"/>
      <c r="J946" s="94"/>
      <c r="K946" s="94"/>
    </row>
    <row r="947" ht="22.5" customHeight="1">
      <c r="A947" s="37">
        <v>945.0</v>
      </c>
      <c r="B947" s="221" t="s">
        <v>855</v>
      </c>
      <c r="C947" s="208"/>
      <c r="D947" s="209">
        <v>46043.0</v>
      </c>
      <c r="E947" s="210">
        <v>2327.14</v>
      </c>
      <c r="F947" s="208"/>
      <c r="G947" s="210">
        <f t="shared" si="4"/>
        <v>2327.14</v>
      </c>
      <c r="H947" s="94"/>
      <c r="I947" s="94"/>
      <c r="J947" s="94"/>
      <c r="K947" s="94"/>
    </row>
    <row r="948" ht="22.5" customHeight="1">
      <c r="A948" s="55">
        <v>946.0</v>
      </c>
      <c r="B948" s="214" t="s">
        <v>855</v>
      </c>
      <c r="C948" s="190"/>
      <c r="D948" s="212">
        <v>46043.0</v>
      </c>
      <c r="E948" s="213">
        <v>2052.94</v>
      </c>
      <c r="F948" s="190"/>
      <c r="G948" s="210">
        <f t="shared" si="4"/>
        <v>2052.94</v>
      </c>
      <c r="H948" s="94"/>
      <c r="I948" s="94"/>
      <c r="J948" s="94"/>
      <c r="K948" s="94"/>
    </row>
    <row r="949" ht="22.5" customHeight="1">
      <c r="A949" s="37">
        <v>947.0</v>
      </c>
      <c r="B949" s="221" t="s">
        <v>784</v>
      </c>
      <c r="C949" s="208"/>
      <c r="D949" s="209">
        <v>46043.0</v>
      </c>
      <c r="E949" s="210">
        <v>13148.34</v>
      </c>
      <c r="F949" s="208"/>
      <c r="G949" s="210">
        <f t="shared" si="4"/>
        <v>13148.34</v>
      </c>
      <c r="H949" s="94"/>
      <c r="I949" s="94"/>
      <c r="J949" s="94"/>
      <c r="K949" s="94"/>
    </row>
    <row r="950" ht="22.5" customHeight="1">
      <c r="A950" s="55">
        <v>948.0</v>
      </c>
      <c r="B950" s="214" t="s">
        <v>109</v>
      </c>
      <c r="C950" s="190"/>
      <c r="D950" s="212">
        <v>46044.0</v>
      </c>
      <c r="E950" s="213">
        <v>8915.0</v>
      </c>
      <c r="F950" s="190"/>
      <c r="G950" s="210">
        <f t="shared" si="4"/>
        <v>8915</v>
      </c>
      <c r="H950" s="94"/>
      <c r="I950" s="94"/>
      <c r="J950" s="94"/>
      <c r="K950" s="94"/>
    </row>
    <row r="951" ht="22.5" customHeight="1">
      <c r="A951" s="37">
        <v>949.0</v>
      </c>
      <c r="B951" s="221" t="s">
        <v>774</v>
      </c>
      <c r="C951" s="208"/>
      <c r="D951" s="209">
        <v>46044.0</v>
      </c>
      <c r="E951" s="210">
        <v>31000.0</v>
      </c>
      <c r="F951" s="208"/>
      <c r="G951" s="210">
        <f t="shared" si="4"/>
        <v>31000</v>
      </c>
      <c r="H951" s="94"/>
      <c r="I951" s="94"/>
      <c r="J951" s="94"/>
      <c r="K951" s="94"/>
    </row>
    <row r="952" ht="22.5" customHeight="1">
      <c r="A952" s="55">
        <v>950.0</v>
      </c>
      <c r="B952" s="214" t="s">
        <v>836</v>
      </c>
      <c r="C952" s="190"/>
      <c r="D952" s="212">
        <v>46044.0</v>
      </c>
      <c r="E952" s="213">
        <v>6500.0</v>
      </c>
      <c r="F952" s="190"/>
      <c r="G952" s="210">
        <f t="shared" si="4"/>
        <v>6500</v>
      </c>
      <c r="H952" s="94"/>
      <c r="I952" s="94"/>
      <c r="J952" s="94"/>
      <c r="K952" s="94"/>
    </row>
    <row r="953" ht="22.5" customHeight="1">
      <c r="A953" s="37">
        <v>951.0</v>
      </c>
      <c r="B953" s="221" t="s">
        <v>936</v>
      </c>
      <c r="C953" s="208"/>
      <c r="D953" s="209">
        <v>46045.0</v>
      </c>
      <c r="E953" s="210">
        <v>20000.0</v>
      </c>
      <c r="F953" s="208"/>
      <c r="G953" s="210">
        <f t="shared" si="4"/>
        <v>20000</v>
      </c>
      <c r="H953" s="94"/>
      <c r="I953" s="94"/>
      <c r="J953" s="94"/>
      <c r="K953" s="94"/>
    </row>
    <row r="954" ht="22.5" customHeight="1">
      <c r="A954" s="55">
        <v>952.0</v>
      </c>
      <c r="B954" s="214" t="s">
        <v>937</v>
      </c>
      <c r="C954" s="190"/>
      <c r="D954" s="212">
        <v>46045.0</v>
      </c>
      <c r="E954" s="213">
        <v>10.0</v>
      </c>
      <c r="F954" s="190"/>
      <c r="G954" s="210">
        <f t="shared" si="4"/>
        <v>10</v>
      </c>
      <c r="H954" s="94"/>
      <c r="I954" s="94"/>
      <c r="J954" s="94"/>
      <c r="K954" s="94"/>
    </row>
    <row r="955" ht="22.5" customHeight="1">
      <c r="A955" s="37">
        <v>953.0</v>
      </c>
      <c r="B955" s="221" t="s">
        <v>938</v>
      </c>
      <c r="C955" s="208"/>
      <c r="D955" s="209">
        <v>46045.0</v>
      </c>
      <c r="E955" s="210">
        <v>75000.0</v>
      </c>
      <c r="F955" s="208"/>
      <c r="G955" s="210">
        <f t="shared" si="4"/>
        <v>75000</v>
      </c>
      <c r="H955" s="94"/>
      <c r="I955" s="94"/>
      <c r="J955" s="94"/>
      <c r="K955" s="94"/>
    </row>
    <row r="956" ht="22.5" customHeight="1">
      <c r="A956" s="55">
        <v>954.0</v>
      </c>
      <c r="B956" s="214" t="s">
        <v>897</v>
      </c>
      <c r="C956" s="190"/>
      <c r="D956" s="212">
        <v>46045.0</v>
      </c>
      <c r="E956" s="213">
        <v>1000000.0</v>
      </c>
      <c r="F956" s="190"/>
      <c r="G956" s="210">
        <f t="shared" si="4"/>
        <v>1000000</v>
      </c>
      <c r="H956" s="94"/>
      <c r="I956" s="94"/>
      <c r="J956" s="94"/>
      <c r="K956" s="94"/>
    </row>
    <row r="957" ht="22.5" customHeight="1">
      <c r="A957" s="37">
        <v>955.0</v>
      </c>
      <c r="B957" s="221" t="s">
        <v>939</v>
      </c>
      <c r="C957" s="208"/>
      <c r="D957" s="209">
        <v>46045.0</v>
      </c>
      <c r="E957" s="210">
        <v>15000.0</v>
      </c>
      <c r="F957" s="208"/>
      <c r="G957" s="210">
        <f t="shared" si="4"/>
        <v>15000</v>
      </c>
      <c r="H957" s="94"/>
      <c r="I957" s="94"/>
      <c r="J957" s="94"/>
      <c r="K957" s="94"/>
    </row>
    <row r="958" ht="22.5" customHeight="1">
      <c r="A958" s="55">
        <v>956.0</v>
      </c>
      <c r="B958" s="214" t="s">
        <v>940</v>
      </c>
      <c r="C958" s="190"/>
      <c r="D958" s="212">
        <v>46045.0</v>
      </c>
      <c r="E958" s="213">
        <v>20800.0</v>
      </c>
      <c r="F958" s="190"/>
      <c r="G958" s="210">
        <f t="shared" si="4"/>
        <v>20800</v>
      </c>
      <c r="H958" s="94"/>
      <c r="I958" s="94"/>
      <c r="J958" s="94"/>
      <c r="K958" s="94"/>
    </row>
    <row r="959" ht="22.5" customHeight="1">
      <c r="A959" s="37">
        <v>957.0</v>
      </c>
      <c r="B959" s="221" t="s">
        <v>225</v>
      </c>
      <c r="C959" s="208"/>
      <c r="D959" s="209">
        <v>46047.0</v>
      </c>
      <c r="E959" s="210">
        <v>28318.0</v>
      </c>
      <c r="F959" s="208"/>
      <c r="G959" s="210">
        <f t="shared" si="4"/>
        <v>28318</v>
      </c>
      <c r="H959" s="94"/>
      <c r="I959" s="94"/>
      <c r="J959" s="94"/>
      <c r="K959" s="94"/>
    </row>
    <row r="960" ht="22.5" customHeight="1">
      <c r="A960" s="55">
        <v>958.0</v>
      </c>
      <c r="B960" s="214" t="s">
        <v>941</v>
      </c>
      <c r="C960" s="190"/>
      <c r="D960" s="212">
        <v>46047.0</v>
      </c>
      <c r="E960" s="213">
        <v>20000.0</v>
      </c>
      <c r="F960" s="190"/>
      <c r="G960" s="210">
        <f t="shared" si="4"/>
        <v>20000</v>
      </c>
      <c r="H960" s="94"/>
      <c r="I960" s="94"/>
      <c r="J960" s="94"/>
      <c r="K960" s="94"/>
    </row>
    <row r="961" ht="22.5" customHeight="1">
      <c r="A961" s="37">
        <v>959.0</v>
      </c>
      <c r="B961" s="221" t="s">
        <v>706</v>
      </c>
      <c r="C961" s="208"/>
      <c r="D961" s="209">
        <v>46047.0</v>
      </c>
      <c r="E961" s="210">
        <v>1999.0</v>
      </c>
      <c r="F961" s="208"/>
      <c r="G961" s="210">
        <f t="shared" si="4"/>
        <v>1999</v>
      </c>
      <c r="H961" s="94"/>
      <c r="I961" s="94"/>
      <c r="J961" s="94"/>
      <c r="K961" s="94"/>
    </row>
    <row r="962" ht="22.5" customHeight="1">
      <c r="A962" s="55">
        <v>960.0</v>
      </c>
      <c r="B962" s="214" t="s">
        <v>942</v>
      </c>
      <c r="C962" s="190"/>
      <c r="D962" s="212">
        <v>46047.0</v>
      </c>
      <c r="E962" s="213">
        <v>8000.0</v>
      </c>
      <c r="F962" s="190"/>
      <c r="G962" s="210">
        <f t="shared" si="4"/>
        <v>8000</v>
      </c>
      <c r="H962" s="94"/>
      <c r="I962" s="94"/>
      <c r="J962" s="94"/>
      <c r="K962" s="94"/>
    </row>
    <row r="963" ht="22.5" customHeight="1">
      <c r="A963" s="37">
        <v>961.0</v>
      </c>
      <c r="B963" s="221" t="s">
        <v>762</v>
      </c>
      <c r="C963" s="208"/>
      <c r="D963" s="209">
        <v>46047.0</v>
      </c>
      <c r="E963" s="210">
        <v>20000.0</v>
      </c>
      <c r="F963" s="208"/>
      <c r="G963" s="210">
        <f t="shared" si="4"/>
        <v>20000</v>
      </c>
      <c r="H963" s="94"/>
      <c r="I963" s="94"/>
      <c r="J963" s="94"/>
      <c r="K963" s="94"/>
    </row>
    <row r="964" ht="22.5" customHeight="1">
      <c r="A964" s="55">
        <v>962.0</v>
      </c>
      <c r="B964" s="214" t="s">
        <v>88</v>
      </c>
      <c r="C964" s="190"/>
      <c r="D964" s="212">
        <v>46047.0</v>
      </c>
      <c r="E964" s="213">
        <v>50000.0</v>
      </c>
      <c r="F964" s="190"/>
      <c r="G964" s="210">
        <f t="shared" si="4"/>
        <v>50000</v>
      </c>
      <c r="H964" s="94"/>
      <c r="I964" s="94"/>
      <c r="J964" s="94"/>
      <c r="K964" s="94"/>
    </row>
    <row r="965" ht="22.5" customHeight="1">
      <c r="A965" s="37">
        <v>963.0</v>
      </c>
      <c r="B965" s="221" t="s">
        <v>773</v>
      </c>
      <c r="C965" s="208"/>
      <c r="D965" s="209">
        <v>46047.0</v>
      </c>
      <c r="E965" s="210">
        <v>10000.0</v>
      </c>
      <c r="F965" s="208"/>
      <c r="G965" s="210">
        <f t="shared" si="4"/>
        <v>10000</v>
      </c>
      <c r="H965" s="94"/>
      <c r="I965" s="94"/>
      <c r="J965" s="94"/>
      <c r="K965" s="94"/>
    </row>
    <row r="966" ht="22.5" customHeight="1">
      <c r="A966" s="55">
        <v>964.0</v>
      </c>
      <c r="B966" s="214" t="s">
        <v>855</v>
      </c>
      <c r="C966" s="190"/>
      <c r="D966" s="212">
        <v>46047.0</v>
      </c>
      <c r="E966" s="213">
        <v>1516.68</v>
      </c>
      <c r="F966" s="190"/>
      <c r="G966" s="210">
        <f t="shared" si="4"/>
        <v>1516.68</v>
      </c>
      <c r="H966" s="94"/>
      <c r="I966" s="94"/>
      <c r="J966" s="94"/>
      <c r="K966" s="94"/>
    </row>
    <row r="967" ht="22.5" customHeight="1">
      <c r="A967" s="37">
        <v>965.0</v>
      </c>
      <c r="B967" s="221" t="s">
        <v>858</v>
      </c>
      <c r="C967" s="208"/>
      <c r="D967" s="209">
        <v>46047.0</v>
      </c>
      <c r="E967" s="210">
        <v>2873.82</v>
      </c>
      <c r="F967" s="208"/>
      <c r="G967" s="210">
        <f t="shared" si="4"/>
        <v>2873.82</v>
      </c>
      <c r="H967" s="94"/>
      <c r="I967" s="94"/>
      <c r="J967" s="94"/>
      <c r="K967" s="94"/>
    </row>
    <row r="968" ht="22.5" customHeight="1">
      <c r="A968" s="55">
        <v>966.0</v>
      </c>
      <c r="B968" s="214" t="s">
        <v>109</v>
      </c>
      <c r="C968" s="190"/>
      <c r="D968" s="212">
        <v>46047.0</v>
      </c>
      <c r="E968" s="213">
        <v>28431.0</v>
      </c>
      <c r="F968" s="190"/>
      <c r="G968" s="210">
        <f t="shared" si="4"/>
        <v>28431</v>
      </c>
      <c r="H968" s="94"/>
      <c r="I968" s="94"/>
      <c r="J968" s="94"/>
      <c r="K968" s="94"/>
    </row>
    <row r="969" ht="22.5" customHeight="1">
      <c r="A969" s="37">
        <v>967.0</v>
      </c>
      <c r="B969" s="221" t="s">
        <v>943</v>
      </c>
      <c r="C969" s="208"/>
      <c r="D969" s="209">
        <v>46047.0</v>
      </c>
      <c r="E969" s="210">
        <v>15000.0</v>
      </c>
      <c r="F969" s="208"/>
      <c r="G969" s="210">
        <f t="shared" si="4"/>
        <v>15000</v>
      </c>
      <c r="H969" s="94"/>
      <c r="I969" s="94"/>
      <c r="J969" s="94"/>
      <c r="K969" s="94"/>
    </row>
    <row r="970" ht="22.5" customHeight="1">
      <c r="A970" s="55">
        <v>968.0</v>
      </c>
      <c r="B970" s="214" t="s">
        <v>762</v>
      </c>
      <c r="C970" s="190"/>
      <c r="D970" s="212">
        <v>46047.0</v>
      </c>
      <c r="E970" s="213">
        <v>5000.0</v>
      </c>
      <c r="F970" s="190"/>
      <c r="G970" s="210">
        <f t="shared" si="4"/>
        <v>5000</v>
      </c>
      <c r="H970" s="94"/>
      <c r="I970" s="94"/>
      <c r="J970" s="94"/>
      <c r="K970" s="94"/>
    </row>
    <row r="971" ht="22.5" customHeight="1">
      <c r="A971" s="37">
        <v>969.0</v>
      </c>
      <c r="B971" s="221" t="s">
        <v>836</v>
      </c>
      <c r="C971" s="208"/>
      <c r="D971" s="209">
        <v>46047.0</v>
      </c>
      <c r="E971" s="210">
        <v>2000.0</v>
      </c>
      <c r="F971" s="208"/>
      <c r="G971" s="210">
        <f t="shared" si="4"/>
        <v>2000</v>
      </c>
      <c r="H971" s="94"/>
      <c r="I971" s="94"/>
      <c r="J971" s="94"/>
      <c r="K971" s="94"/>
    </row>
    <row r="972" ht="22.5" customHeight="1">
      <c r="A972" s="55">
        <v>970.0</v>
      </c>
      <c r="B972" s="214" t="s">
        <v>937</v>
      </c>
      <c r="C972" s="190"/>
      <c r="D972" s="212">
        <v>46047.0</v>
      </c>
      <c r="E972" s="213">
        <v>50000.0</v>
      </c>
      <c r="F972" s="190"/>
      <c r="G972" s="210">
        <f t="shared" si="4"/>
        <v>50000</v>
      </c>
      <c r="H972" s="94"/>
      <c r="I972" s="94"/>
      <c r="J972" s="94"/>
      <c r="K972" s="94"/>
    </row>
    <row r="973" ht="22.5" customHeight="1">
      <c r="A973" s="37">
        <v>971.0</v>
      </c>
      <c r="B973" s="221" t="s">
        <v>836</v>
      </c>
      <c r="C973" s="208"/>
      <c r="D973" s="209">
        <v>46047.0</v>
      </c>
      <c r="E973" s="210">
        <v>14000.0</v>
      </c>
      <c r="F973" s="208"/>
      <c r="G973" s="210">
        <f t="shared" si="4"/>
        <v>14000</v>
      </c>
      <c r="H973" s="94"/>
      <c r="I973" s="94"/>
      <c r="J973" s="94"/>
      <c r="K973" s="94"/>
    </row>
    <row r="974" ht="22.5" customHeight="1">
      <c r="A974" s="55">
        <v>972.0</v>
      </c>
      <c r="B974" s="214" t="s">
        <v>936</v>
      </c>
      <c r="C974" s="190"/>
      <c r="D974" s="212">
        <v>46048.0</v>
      </c>
      <c r="E974" s="213">
        <v>43000.0</v>
      </c>
      <c r="F974" s="190"/>
      <c r="G974" s="210">
        <f t="shared" si="4"/>
        <v>43000</v>
      </c>
      <c r="H974" s="94"/>
      <c r="I974" s="94"/>
      <c r="J974" s="94"/>
      <c r="K974" s="94"/>
    </row>
    <row r="975" ht="22.5" customHeight="1">
      <c r="A975" s="37">
        <v>973.0</v>
      </c>
      <c r="B975" s="221" t="s">
        <v>362</v>
      </c>
      <c r="C975" s="208"/>
      <c r="D975" s="209">
        <v>46048.0</v>
      </c>
      <c r="E975" s="210">
        <v>32500.0</v>
      </c>
      <c r="F975" s="208"/>
      <c r="G975" s="210">
        <f t="shared" si="4"/>
        <v>32500</v>
      </c>
      <c r="H975" s="94"/>
      <c r="I975" s="94"/>
      <c r="J975" s="94"/>
      <c r="K975" s="94"/>
    </row>
    <row r="976" ht="22.5" customHeight="1">
      <c r="A976" s="55">
        <v>974.0</v>
      </c>
      <c r="B976" s="214" t="s">
        <v>762</v>
      </c>
      <c r="C976" s="190"/>
      <c r="D976" s="212">
        <v>46048.0</v>
      </c>
      <c r="E976" s="213">
        <v>18500.0</v>
      </c>
      <c r="F976" s="190"/>
      <c r="G976" s="210">
        <f t="shared" si="4"/>
        <v>18500</v>
      </c>
      <c r="H976" s="94"/>
      <c r="I976" s="94"/>
      <c r="J976" s="94"/>
      <c r="K976" s="94"/>
    </row>
    <row r="977" ht="22.5" customHeight="1">
      <c r="A977" s="37">
        <v>975.0</v>
      </c>
      <c r="B977" s="221" t="s">
        <v>937</v>
      </c>
      <c r="C977" s="208"/>
      <c r="D977" s="209">
        <v>46048.0</v>
      </c>
      <c r="E977" s="210">
        <v>50000.0</v>
      </c>
      <c r="F977" s="208"/>
      <c r="G977" s="210">
        <f t="shared" si="4"/>
        <v>50000</v>
      </c>
      <c r="H977" s="94"/>
      <c r="I977" s="94"/>
      <c r="J977" s="94"/>
      <c r="K977" s="94"/>
    </row>
    <row r="978" ht="22.5" customHeight="1">
      <c r="A978" s="55">
        <v>976.0</v>
      </c>
      <c r="B978" s="214" t="s">
        <v>109</v>
      </c>
      <c r="C978" s="190"/>
      <c r="D978" s="212">
        <v>46049.0</v>
      </c>
      <c r="E978" s="213">
        <v>7574.0</v>
      </c>
      <c r="F978" s="190"/>
      <c r="G978" s="210">
        <f t="shared" si="4"/>
        <v>7574</v>
      </c>
      <c r="H978" s="94"/>
      <c r="I978" s="94"/>
      <c r="J978" s="94"/>
      <c r="K978" s="94"/>
    </row>
    <row r="979" ht="22.5" customHeight="1">
      <c r="A979" s="37">
        <v>977.0</v>
      </c>
      <c r="B979" s="221" t="s">
        <v>109</v>
      </c>
      <c r="C979" s="208"/>
      <c r="D979" s="209">
        <v>46049.0</v>
      </c>
      <c r="E979" s="210">
        <v>6075.0</v>
      </c>
      <c r="F979" s="208"/>
      <c r="G979" s="210">
        <f t="shared" si="4"/>
        <v>6075</v>
      </c>
      <c r="H979" s="94"/>
      <c r="I979" s="94"/>
      <c r="J979" s="94"/>
      <c r="K979" s="94"/>
    </row>
    <row r="980" ht="22.5" customHeight="1">
      <c r="A980" s="55">
        <v>978.0</v>
      </c>
      <c r="B980" s="214" t="s">
        <v>109</v>
      </c>
      <c r="C980" s="190"/>
      <c r="D980" s="212">
        <v>46049.0</v>
      </c>
      <c r="E980" s="213">
        <v>26542.5</v>
      </c>
      <c r="F980" s="190"/>
      <c r="G980" s="210">
        <f t="shared" si="4"/>
        <v>26542.5</v>
      </c>
      <c r="H980" s="94"/>
      <c r="I980" s="94"/>
      <c r="J980" s="94"/>
      <c r="K980" s="94"/>
    </row>
    <row r="981" ht="22.5" customHeight="1">
      <c r="A981" s="37">
        <v>979.0</v>
      </c>
      <c r="B981" s="221" t="s">
        <v>109</v>
      </c>
      <c r="C981" s="208"/>
      <c r="D981" s="209">
        <v>46049.0</v>
      </c>
      <c r="E981" s="210">
        <v>9570.5</v>
      </c>
      <c r="F981" s="208"/>
      <c r="G981" s="210">
        <f t="shared" si="4"/>
        <v>9570.5</v>
      </c>
      <c r="H981" s="94"/>
      <c r="I981" s="94"/>
      <c r="J981" s="94"/>
      <c r="K981" s="94"/>
    </row>
    <row r="982" ht="22.5" customHeight="1">
      <c r="A982" s="55">
        <v>980.0</v>
      </c>
      <c r="B982" s="214" t="s">
        <v>109</v>
      </c>
      <c r="C982" s="190"/>
      <c r="D982" s="212">
        <v>46049.0</v>
      </c>
      <c r="E982" s="213">
        <v>6590.75</v>
      </c>
      <c r="F982" s="190"/>
      <c r="G982" s="210">
        <f t="shared" si="4"/>
        <v>6590.75</v>
      </c>
      <c r="H982" s="94"/>
      <c r="I982" s="94"/>
      <c r="J982" s="94"/>
      <c r="K982" s="94"/>
    </row>
    <row r="983" ht="22.5" customHeight="1">
      <c r="A983" s="37">
        <v>981.0</v>
      </c>
      <c r="B983" s="221" t="s">
        <v>944</v>
      </c>
      <c r="C983" s="208"/>
      <c r="D983" s="209">
        <v>46050.0</v>
      </c>
      <c r="E983" s="210">
        <v>27500.0</v>
      </c>
      <c r="F983" s="208"/>
      <c r="G983" s="210">
        <f t="shared" si="4"/>
        <v>27500</v>
      </c>
      <c r="H983" s="94"/>
      <c r="I983" s="94"/>
      <c r="J983" s="94"/>
      <c r="K983" s="94"/>
    </row>
    <row r="984" ht="22.5" customHeight="1">
      <c r="A984" s="55">
        <v>982.0</v>
      </c>
      <c r="B984" s="214" t="s">
        <v>142</v>
      </c>
      <c r="C984" s="190"/>
      <c r="D984" s="212">
        <v>46050.0</v>
      </c>
      <c r="E984" s="213">
        <v>58800.0</v>
      </c>
      <c r="F984" s="190"/>
      <c r="G984" s="210">
        <f t="shared" si="4"/>
        <v>58800</v>
      </c>
      <c r="H984" s="94"/>
      <c r="I984" s="94"/>
      <c r="J984" s="94"/>
      <c r="K984" s="94"/>
    </row>
    <row r="985" ht="22.5" customHeight="1">
      <c r="A985" s="37">
        <v>983.0</v>
      </c>
      <c r="B985" s="221" t="s">
        <v>900</v>
      </c>
      <c r="C985" s="208"/>
      <c r="D985" s="209">
        <v>46050.0</v>
      </c>
      <c r="E985" s="210">
        <v>116999.0</v>
      </c>
      <c r="F985" s="208"/>
      <c r="G985" s="210">
        <f t="shared" si="4"/>
        <v>116999</v>
      </c>
      <c r="H985" s="94"/>
      <c r="I985" s="94"/>
      <c r="J985" s="94"/>
      <c r="K985" s="94"/>
    </row>
    <row r="986" ht="22.5" customHeight="1">
      <c r="A986" s="55">
        <v>984.0</v>
      </c>
      <c r="B986" s="214" t="s">
        <v>807</v>
      </c>
      <c r="C986" s="190"/>
      <c r="D986" s="212">
        <v>46050.0</v>
      </c>
      <c r="E986" s="213">
        <v>40000.0</v>
      </c>
      <c r="F986" s="190"/>
      <c r="G986" s="210">
        <f t="shared" si="4"/>
        <v>40000</v>
      </c>
      <c r="H986" s="94"/>
      <c r="I986" s="94"/>
      <c r="J986" s="94"/>
      <c r="K986" s="94"/>
    </row>
    <row r="987" ht="22.5" customHeight="1">
      <c r="A987" s="37">
        <v>985.0</v>
      </c>
      <c r="B987" s="221" t="s">
        <v>945</v>
      </c>
      <c r="C987" s="208"/>
      <c r="D987" s="209">
        <v>46050.0</v>
      </c>
      <c r="E987" s="210">
        <v>18000.0</v>
      </c>
      <c r="F987" s="208"/>
      <c r="G987" s="210">
        <f t="shared" si="4"/>
        <v>18000</v>
      </c>
      <c r="H987" s="94"/>
      <c r="I987" s="94"/>
      <c r="J987" s="94"/>
      <c r="K987" s="94"/>
    </row>
    <row r="988" ht="22.5" customHeight="1">
      <c r="A988" s="55">
        <v>986.0</v>
      </c>
      <c r="B988" s="214" t="s">
        <v>706</v>
      </c>
      <c r="C988" s="190"/>
      <c r="D988" s="212">
        <v>46050.0</v>
      </c>
      <c r="E988" s="213">
        <v>7764.0</v>
      </c>
      <c r="F988" s="190"/>
      <c r="G988" s="210">
        <f t="shared" si="4"/>
        <v>7764</v>
      </c>
      <c r="H988" s="94"/>
      <c r="I988" s="94"/>
      <c r="J988" s="94"/>
      <c r="K988" s="94"/>
    </row>
    <row r="989" ht="22.5" customHeight="1">
      <c r="A989" s="37">
        <v>987.0</v>
      </c>
      <c r="B989" s="221" t="s">
        <v>346</v>
      </c>
      <c r="C989" s="208"/>
      <c r="D989" s="209">
        <v>46050.0</v>
      </c>
      <c r="E989" s="210">
        <v>6778.0</v>
      </c>
      <c r="F989" s="208"/>
      <c r="G989" s="210">
        <f t="shared" si="4"/>
        <v>6778</v>
      </c>
      <c r="H989" s="94"/>
      <c r="I989" s="94"/>
      <c r="J989" s="94"/>
      <c r="K989" s="94"/>
    </row>
    <row r="990" ht="22.5" customHeight="1">
      <c r="A990" s="55">
        <v>988.0</v>
      </c>
      <c r="B990" s="214" t="s">
        <v>765</v>
      </c>
      <c r="C990" s="190"/>
      <c r="D990" s="212">
        <v>46050.0</v>
      </c>
      <c r="E990" s="213">
        <v>2426.0</v>
      </c>
      <c r="F990" s="190"/>
      <c r="G990" s="210">
        <f t="shared" si="4"/>
        <v>2426</v>
      </c>
      <c r="H990" s="94"/>
      <c r="I990" s="94"/>
      <c r="J990" s="94"/>
      <c r="K990" s="94"/>
    </row>
    <row r="991" ht="22.5" customHeight="1">
      <c r="A991" s="37">
        <v>989.0</v>
      </c>
      <c r="B991" s="221" t="s">
        <v>225</v>
      </c>
      <c r="C991" s="208"/>
      <c r="D991" s="209">
        <v>46050.0</v>
      </c>
      <c r="E991" s="210">
        <v>25500.0</v>
      </c>
      <c r="F991" s="208"/>
      <c r="G991" s="210">
        <f t="shared" si="4"/>
        <v>25500</v>
      </c>
      <c r="H991" s="94"/>
      <c r="I991" s="94"/>
      <c r="J991" s="94"/>
      <c r="K991" s="94"/>
    </row>
    <row r="992" ht="22.5" customHeight="1">
      <c r="A992" s="55">
        <v>990.0</v>
      </c>
      <c r="B992" s="214" t="s">
        <v>109</v>
      </c>
      <c r="C992" s="190"/>
      <c r="D992" s="212">
        <v>46050.0</v>
      </c>
      <c r="E992" s="213">
        <v>13115.0</v>
      </c>
      <c r="F992" s="190"/>
      <c r="G992" s="210">
        <f t="shared" si="4"/>
        <v>13115</v>
      </c>
      <c r="H992" s="94"/>
      <c r="I992" s="94"/>
      <c r="J992" s="94"/>
      <c r="K992" s="94"/>
    </row>
    <row r="993" ht="22.5" customHeight="1">
      <c r="A993" s="37">
        <v>991.0</v>
      </c>
      <c r="B993" s="221" t="s">
        <v>109</v>
      </c>
      <c r="C993" s="208"/>
      <c r="D993" s="209">
        <v>46050.0</v>
      </c>
      <c r="E993" s="210">
        <v>4997.0</v>
      </c>
      <c r="F993" s="208"/>
      <c r="G993" s="210">
        <f t="shared" si="4"/>
        <v>4997</v>
      </c>
      <c r="H993" s="94"/>
      <c r="I993" s="94"/>
      <c r="J993" s="94"/>
      <c r="K993" s="94"/>
    </row>
    <row r="994" ht="22.5" customHeight="1">
      <c r="A994" s="55">
        <v>992.0</v>
      </c>
      <c r="B994" s="214" t="s">
        <v>109</v>
      </c>
      <c r="C994" s="190"/>
      <c r="D994" s="212">
        <v>46051.0</v>
      </c>
      <c r="E994" s="213">
        <v>13454.0</v>
      </c>
      <c r="F994" s="190"/>
      <c r="G994" s="210">
        <f t="shared" si="4"/>
        <v>13454</v>
      </c>
      <c r="H994" s="94"/>
      <c r="I994" s="94"/>
      <c r="J994" s="94"/>
      <c r="K994" s="94"/>
    </row>
    <row r="995" ht="22.5" customHeight="1">
      <c r="A995" s="37">
        <v>993.0</v>
      </c>
      <c r="B995" s="221" t="s">
        <v>109</v>
      </c>
      <c r="C995" s="208"/>
      <c r="D995" s="209">
        <v>46052.0</v>
      </c>
      <c r="E995" s="210">
        <v>6106.0</v>
      </c>
      <c r="F995" s="208"/>
      <c r="G995" s="210">
        <f t="shared" si="4"/>
        <v>6106</v>
      </c>
      <c r="H995" s="94"/>
      <c r="I995" s="94"/>
      <c r="J995" s="94"/>
      <c r="K995" s="94"/>
    </row>
    <row r="996" ht="22.5" customHeight="1">
      <c r="A996" s="55">
        <v>994.0</v>
      </c>
      <c r="B996" s="214" t="s">
        <v>813</v>
      </c>
      <c r="C996" s="190"/>
      <c r="D996" s="212">
        <v>46052.0</v>
      </c>
      <c r="E996" s="213">
        <v>22000.0</v>
      </c>
      <c r="F996" s="190"/>
      <c r="G996" s="210">
        <f t="shared" si="4"/>
        <v>22000</v>
      </c>
      <c r="H996" s="94"/>
      <c r="I996" s="94"/>
      <c r="J996" s="94"/>
      <c r="K996" s="94"/>
    </row>
    <row r="997" ht="22.5" customHeight="1">
      <c r="A997" s="37">
        <v>995.0</v>
      </c>
      <c r="B997" s="221" t="s">
        <v>362</v>
      </c>
      <c r="C997" s="208"/>
      <c r="D997" s="209">
        <v>46052.0</v>
      </c>
      <c r="E997" s="210">
        <v>91060.0</v>
      </c>
      <c r="F997" s="208"/>
      <c r="G997" s="210">
        <f t="shared" si="4"/>
        <v>91060</v>
      </c>
      <c r="H997" s="94"/>
      <c r="I997" s="94"/>
      <c r="J997" s="94"/>
      <c r="K997" s="94"/>
    </row>
    <row r="998" ht="22.5" customHeight="1">
      <c r="A998" s="55">
        <v>996.0</v>
      </c>
      <c r="B998" s="214" t="s">
        <v>836</v>
      </c>
      <c r="C998" s="190"/>
      <c r="D998" s="212">
        <v>46052.0</v>
      </c>
      <c r="E998" s="213">
        <v>14000.0</v>
      </c>
      <c r="F998" s="190"/>
      <c r="G998" s="210">
        <f t="shared" si="4"/>
        <v>14000</v>
      </c>
      <c r="H998" s="94"/>
      <c r="I998" s="94"/>
      <c r="J998" s="94"/>
      <c r="K998" s="94"/>
    </row>
    <row r="999" ht="22.5" customHeight="1">
      <c r="A999" s="37">
        <v>997.0</v>
      </c>
      <c r="B999" s="221" t="s">
        <v>946</v>
      </c>
      <c r="C999" s="208"/>
      <c r="D999" s="209">
        <v>46052.0</v>
      </c>
      <c r="E999" s="210">
        <v>5000.0</v>
      </c>
      <c r="F999" s="208"/>
      <c r="G999" s="210">
        <f t="shared" si="4"/>
        <v>5000</v>
      </c>
      <c r="H999" s="94"/>
      <c r="I999" s="94"/>
      <c r="J999" s="94"/>
      <c r="K999" s="94"/>
    </row>
    <row r="1000" ht="22.5" customHeight="1">
      <c r="A1000" s="55">
        <v>998.0</v>
      </c>
      <c r="B1000" s="214" t="s">
        <v>762</v>
      </c>
      <c r="C1000" s="190"/>
      <c r="D1000" s="212">
        <v>46052.0</v>
      </c>
      <c r="E1000" s="213">
        <v>9168.0</v>
      </c>
      <c r="F1000" s="190"/>
      <c r="G1000" s="210">
        <f t="shared" si="4"/>
        <v>9168</v>
      </c>
      <c r="H1000" s="94"/>
      <c r="I1000" s="94"/>
      <c r="J1000" s="94"/>
      <c r="K1000" s="94"/>
    </row>
    <row r="1001" ht="22.5" customHeight="1">
      <c r="A1001" s="37">
        <v>999.0</v>
      </c>
      <c r="B1001" s="221" t="s">
        <v>804</v>
      </c>
      <c r="C1001" s="208"/>
      <c r="D1001" s="209">
        <v>46052.0</v>
      </c>
      <c r="E1001" s="210">
        <v>3650.0</v>
      </c>
      <c r="F1001" s="208"/>
      <c r="G1001" s="210">
        <f t="shared" si="4"/>
        <v>3650</v>
      </c>
      <c r="H1001" s="94"/>
      <c r="I1001" s="94"/>
      <c r="J1001" s="94"/>
      <c r="K1001" s="94"/>
    </row>
    <row r="1002" ht="22.5" customHeight="1">
      <c r="A1002" s="55">
        <v>1000.0</v>
      </c>
      <c r="B1002" s="214" t="s">
        <v>947</v>
      </c>
      <c r="C1002" s="190"/>
      <c r="D1002" s="212">
        <v>46052.0</v>
      </c>
      <c r="E1002" s="213">
        <v>766.0</v>
      </c>
      <c r="F1002" s="190"/>
      <c r="G1002" s="210">
        <f t="shared" si="4"/>
        <v>766</v>
      </c>
      <c r="H1002" s="94"/>
      <c r="I1002" s="94"/>
      <c r="J1002" s="94"/>
      <c r="K1002" s="94"/>
    </row>
    <row r="1003" ht="22.5" customHeight="1">
      <c r="A1003" s="37">
        <v>1001.0</v>
      </c>
      <c r="B1003" s="221" t="s">
        <v>809</v>
      </c>
      <c r="C1003" s="208"/>
      <c r="D1003" s="209">
        <v>46052.0</v>
      </c>
      <c r="E1003" s="210">
        <v>542.0</v>
      </c>
      <c r="F1003" s="208"/>
      <c r="G1003" s="210">
        <f t="shared" si="4"/>
        <v>542</v>
      </c>
      <c r="H1003" s="94"/>
      <c r="I1003" s="94"/>
      <c r="J1003" s="94"/>
      <c r="K1003" s="94"/>
    </row>
    <row r="1004" ht="22.5" customHeight="1">
      <c r="A1004" s="55">
        <v>1002.0</v>
      </c>
      <c r="B1004" s="214" t="s">
        <v>892</v>
      </c>
      <c r="C1004" s="190"/>
      <c r="D1004" s="212">
        <v>46052.0</v>
      </c>
      <c r="E1004" s="213">
        <v>251.0</v>
      </c>
      <c r="F1004" s="190"/>
      <c r="G1004" s="210">
        <f t="shared" si="4"/>
        <v>251</v>
      </c>
      <c r="H1004" s="94"/>
      <c r="I1004" s="94"/>
      <c r="J1004" s="94"/>
      <c r="K1004" s="94"/>
    </row>
    <row r="1005" ht="22.5" customHeight="1">
      <c r="A1005" s="37">
        <v>1003.0</v>
      </c>
      <c r="B1005" s="221" t="s">
        <v>948</v>
      </c>
      <c r="C1005" s="208"/>
      <c r="D1005" s="209">
        <v>46052.0</v>
      </c>
      <c r="E1005" s="210">
        <v>37170.0</v>
      </c>
      <c r="F1005" s="208"/>
      <c r="G1005" s="210">
        <f t="shared" si="4"/>
        <v>37170</v>
      </c>
      <c r="H1005" s="94"/>
      <c r="I1005" s="94"/>
      <c r="J1005" s="94"/>
      <c r="K1005" s="94"/>
    </row>
    <row r="1006" ht="22.5" customHeight="1">
      <c r="A1006" s="55">
        <v>1004.0</v>
      </c>
      <c r="B1006" s="214" t="s">
        <v>109</v>
      </c>
      <c r="C1006" s="190"/>
      <c r="D1006" s="212">
        <v>46052.0</v>
      </c>
      <c r="E1006" s="213">
        <v>4803.0</v>
      </c>
      <c r="F1006" s="190"/>
      <c r="G1006" s="210">
        <f t="shared" si="4"/>
        <v>4803</v>
      </c>
      <c r="H1006" s="94"/>
      <c r="I1006" s="94"/>
      <c r="J1006" s="94"/>
      <c r="K1006" s="94"/>
    </row>
    <row r="1007" ht="22.5" customHeight="1">
      <c r="A1007" s="37">
        <v>1005.0</v>
      </c>
      <c r="B1007" s="221" t="s">
        <v>109</v>
      </c>
      <c r="C1007" s="208"/>
      <c r="D1007" s="209">
        <v>46052.0</v>
      </c>
      <c r="E1007" s="210">
        <v>-3805.0</v>
      </c>
      <c r="F1007" s="208"/>
      <c r="G1007" s="210">
        <f t="shared" si="4"/>
        <v>-3805</v>
      </c>
      <c r="H1007" s="94"/>
      <c r="I1007" s="94"/>
      <c r="J1007" s="94"/>
      <c r="K1007" s="94"/>
    </row>
    <row r="1008" ht="22.5" customHeight="1">
      <c r="A1008" s="55">
        <v>1006.0</v>
      </c>
      <c r="B1008" s="214" t="s">
        <v>109</v>
      </c>
      <c r="C1008" s="190"/>
      <c r="D1008" s="212">
        <v>46052.0</v>
      </c>
      <c r="E1008" s="213">
        <v>15754.0</v>
      </c>
      <c r="F1008" s="190"/>
      <c r="G1008" s="210">
        <f t="shared" si="4"/>
        <v>15754</v>
      </c>
      <c r="H1008" s="94"/>
      <c r="I1008" s="94"/>
      <c r="J1008" s="94"/>
      <c r="K1008" s="94"/>
    </row>
    <row r="1009" ht="22.5" customHeight="1">
      <c r="A1009" s="37">
        <v>1007.0</v>
      </c>
      <c r="B1009" s="221" t="s">
        <v>831</v>
      </c>
      <c r="C1009" s="208"/>
      <c r="D1009" s="209">
        <v>46053.0</v>
      </c>
      <c r="E1009" s="210">
        <v>30000.0</v>
      </c>
      <c r="F1009" s="208"/>
      <c r="G1009" s="210">
        <f t="shared" si="4"/>
        <v>30000</v>
      </c>
      <c r="H1009" s="94"/>
      <c r="I1009" s="94"/>
      <c r="J1009" s="94"/>
      <c r="K1009" s="94"/>
    </row>
    <row r="1010" ht="22.5" customHeight="1">
      <c r="A1010" s="55">
        <v>1008.0</v>
      </c>
      <c r="B1010" s="214" t="s">
        <v>943</v>
      </c>
      <c r="C1010" s="190"/>
      <c r="D1010" s="212">
        <v>46053.0</v>
      </c>
      <c r="E1010" s="213">
        <v>8200.0</v>
      </c>
      <c r="F1010" s="190"/>
      <c r="G1010" s="210">
        <f t="shared" si="4"/>
        <v>8200</v>
      </c>
      <c r="H1010" s="94"/>
      <c r="I1010" s="94"/>
      <c r="J1010" s="94"/>
      <c r="K1010" s="94"/>
    </row>
    <row r="1011" ht="22.5" customHeight="1">
      <c r="A1011" s="37">
        <v>1009.0</v>
      </c>
      <c r="B1011" s="221" t="s">
        <v>846</v>
      </c>
      <c r="C1011" s="208"/>
      <c r="D1011" s="209">
        <v>46053.0</v>
      </c>
      <c r="E1011" s="210">
        <v>36950.0</v>
      </c>
      <c r="F1011" s="208"/>
      <c r="G1011" s="210">
        <f t="shared" si="4"/>
        <v>36950</v>
      </c>
      <c r="H1011" s="94"/>
      <c r="I1011" s="94"/>
      <c r="J1011" s="94"/>
      <c r="K1011" s="94"/>
    </row>
    <row r="1012" ht="22.5" customHeight="1">
      <c r="A1012" s="55">
        <v>1010.0</v>
      </c>
      <c r="B1012" s="214" t="s">
        <v>109</v>
      </c>
      <c r="C1012" s="190"/>
      <c r="D1012" s="212">
        <v>46053.0</v>
      </c>
      <c r="E1012" s="213">
        <v>5022.26</v>
      </c>
      <c r="F1012" s="190"/>
      <c r="G1012" s="210">
        <f t="shared" si="4"/>
        <v>5022.26</v>
      </c>
      <c r="H1012" s="94"/>
      <c r="I1012" s="94"/>
      <c r="J1012" s="94"/>
      <c r="K1012" s="94"/>
    </row>
    <row r="1013" ht="22.5" customHeight="1">
      <c r="A1013" s="37">
        <v>1011.0</v>
      </c>
      <c r="B1013" s="214" t="s">
        <v>109</v>
      </c>
      <c r="C1013" s="190"/>
      <c r="D1013" s="212">
        <v>46054.0</v>
      </c>
      <c r="E1013" s="213">
        <v>16783.71</v>
      </c>
      <c r="F1013" s="190"/>
      <c r="G1013" s="210">
        <f t="shared" si="4"/>
        <v>16783.71</v>
      </c>
      <c r="H1013" s="94"/>
      <c r="I1013" s="94"/>
      <c r="J1013" s="94"/>
      <c r="K1013" s="94"/>
    </row>
    <row r="1014" ht="22.5" customHeight="1">
      <c r="A1014" s="55">
        <v>1012.0</v>
      </c>
      <c r="B1014" s="214" t="s">
        <v>855</v>
      </c>
      <c r="C1014" s="190"/>
      <c r="D1014" s="212">
        <v>46055.0</v>
      </c>
      <c r="E1014" s="213">
        <v>1028.08</v>
      </c>
      <c r="F1014" s="190"/>
      <c r="G1014" s="210">
        <f t="shared" si="4"/>
        <v>1028.08</v>
      </c>
      <c r="H1014" s="94"/>
      <c r="I1014" s="94"/>
      <c r="J1014" s="94"/>
      <c r="K1014" s="94"/>
    </row>
    <row r="1015" ht="22.5" customHeight="1">
      <c r="A1015" s="37">
        <v>1013.0</v>
      </c>
      <c r="B1015" s="214" t="s">
        <v>762</v>
      </c>
      <c r="C1015" s="190"/>
      <c r="D1015" s="212">
        <v>46055.0</v>
      </c>
      <c r="E1015" s="213">
        <v>4618.0</v>
      </c>
      <c r="F1015" s="190"/>
      <c r="G1015" s="210">
        <f t="shared" si="4"/>
        <v>4618</v>
      </c>
      <c r="H1015" s="94"/>
      <c r="I1015" s="94"/>
      <c r="J1015" s="94"/>
      <c r="K1015" s="94"/>
    </row>
    <row r="1016" ht="22.5" customHeight="1">
      <c r="A1016" s="55">
        <v>1014.0</v>
      </c>
      <c r="B1016" s="214" t="s">
        <v>949</v>
      </c>
      <c r="C1016" s="190"/>
      <c r="D1016" s="212">
        <v>46055.0</v>
      </c>
      <c r="E1016" s="213">
        <v>54398.0</v>
      </c>
      <c r="F1016" s="190"/>
      <c r="G1016" s="210">
        <f t="shared" si="4"/>
        <v>54398</v>
      </c>
      <c r="H1016" s="94"/>
      <c r="I1016" s="94"/>
      <c r="J1016" s="94"/>
      <c r="K1016" s="94"/>
    </row>
    <row r="1017" ht="22.5" customHeight="1">
      <c r="A1017" s="37">
        <v>1015.0</v>
      </c>
      <c r="B1017" s="214" t="s">
        <v>435</v>
      </c>
      <c r="C1017" s="190"/>
      <c r="D1017" s="212">
        <v>46056.0</v>
      </c>
      <c r="E1017" s="213">
        <v>350000.0</v>
      </c>
      <c r="F1017" s="190"/>
      <c r="G1017" s="210">
        <f t="shared" si="4"/>
        <v>350000</v>
      </c>
      <c r="H1017" s="94"/>
      <c r="I1017" s="94"/>
      <c r="J1017" s="94"/>
      <c r="K1017" s="94"/>
    </row>
    <row r="1018" ht="22.5" customHeight="1">
      <c r="A1018" s="55">
        <v>1016.0</v>
      </c>
      <c r="B1018" s="214" t="s">
        <v>950</v>
      </c>
      <c r="C1018" s="190"/>
      <c r="D1018" s="212">
        <v>46056.0</v>
      </c>
      <c r="E1018" s="213">
        <v>45000.0</v>
      </c>
      <c r="F1018" s="190"/>
      <c r="G1018" s="210">
        <f t="shared" si="4"/>
        <v>45000</v>
      </c>
      <c r="H1018" s="94"/>
      <c r="I1018" s="94"/>
      <c r="J1018" s="94"/>
      <c r="K1018" s="94"/>
    </row>
    <row r="1019" ht="22.5" customHeight="1">
      <c r="A1019" s="37">
        <v>1017.0</v>
      </c>
      <c r="B1019" s="214" t="s">
        <v>109</v>
      </c>
      <c r="C1019" s="190"/>
      <c r="D1019" s="212">
        <v>46057.0</v>
      </c>
      <c r="E1019" s="213">
        <v>1812.13</v>
      </c>
      <c r="F1019" s="190"/>
      <c r="G1019" s="210">
        <f t="shared" si="4"/>
        <v>1812.13</v>
      </c>
      <c r="H1019" s="94"/>
      <c r="I1019" s="94"/>
      <c r="J1019" s="94"/>
      <c r="K1019" s="94"/>
    </row>
    <row r="1020" ht="22.5" customHeight="1">
      <c r="A1020" s="55">
        <v>1018.0</v>
      </c>
      <c r="B1020" s="214" t="s">
        <v>109</v>
      </c>
      <c r="C1020" s="190"/>
      <c r="D1020" s="212">
        <v>46057.0</v>
      </c>
      <c r="E1020" s="213">
        <v>2307.9</v>
      </c>
      <c r="F1020" s="190"/>
      <c r="G1020" s="210">
        <f t="shared" si="4"/>
        <v>2307.9</v>
      </c>
      <c r="H1020" s="94"/>
      <c r="I1020" s="94"/>
      <c r="J1020" s="94"/>
      <c r="K1020" s="94"/>
    </row>
    <row r="1021" ht="22.5" customHeight="1">
      <c r="A1021" s="37">
        <v>1019.0</v>
      </c>
      <c r="B1021" s="214" t="s">
        <v>784</v>
      </c>
      <c r="C1021" s="190"/>
      <c r="D1021" s="212">
        <v>46057.0</v>
      </c>
      <c r="E1021" s="213">
        <v>6206.0</v>
      </c>
      <c r="F1021" s="190"/>
      <c r="G1021" s="210">
        <f t="shared" si="4"/>
        <v>6206</v>
      </c>
      <c r="H1021" s="94"/>
      <c r="I1021" s="94"/>
      <c r="J1021" s="94"/>
      <c r="K1021" s="94"/>
    </row>
    <row r="1022" ht="22.5" customHeight="1">
      <c r="A1022" s="55">
        <v>1020.0</v>
      </c>
      <c r="B1022" s="214" t="s">
        <v>951</v>
      </c>
      <c r="C1022" s="190"/>
      <c r="D1022" s="212">
        <v>46057.0</v>
      </c>
      <c r="E1022" s="213">
        <v>2354.1</v>
      </c>
      <c r="F1022" s="190"/>
      <c r="G1022" s="210">
        <f t="shared" si="4"/>
        <v>2354.1</v>
      </c>
      <c r="H1022" s="94"/>
      <c r="I1022" s="94"/>
      <c r="J1022" s="94"/>
      <c r="K1022" s="94"/>
    </row>
    <row r="1023" ht="22.5" customHeight="1">
      <c r="A1023" s="37">
        <v>1021.0</v>
      </c>
      <c r="B1023" s="214" t="s">
        <v>847</v>
      </c>
      <c r="C1023" s="190"/>
      <c r="D1023" s="212">
        <v>46058.0</v>
      </c>
      <c r="E1023" s="213">
        <v>25000.0</v>
      </c>
      <c r="F1023" s="190"/>
      <c r="G1023" s="210">
        <f t="shared" si="4"/>
        <v>25000</v>
      </c>
      <c r="H1023" s="94"/>
      <c r="I1023" s="94"/>
      <c r="J1023" s="94"/>
      <c r="K1023" s="94"/>
    </row>
    <row r="1024" ht="22.5" customHeight="1">
      <c r="A1024" s="55">
        <v>1022.0</v>
      </c>
      <c r="B1024" s="214" t="s">
        <v>952</v>
      </c>
      <c r="C1024" s="190"/>
      <c r="D1024" s="212">
        <v>46058.0</v>
      </c>
      <c r="E1024" s="213">
        <v>35000.0</v>
      </c>
      <c r="F1024" s="190"/>
      <c r="G1024" s="210">
        <f t="shared" si="4"/>
        <v>35000</v>
      </c>
      <c r="H1024" s="94"/>
      <c r="I1024" s="94"/>
      <c r="J1024" s="94"/>
      <c r="K1024" s="94"/>
    </row>
    <row r="1025" ht="22.5" customHeight="1">
      <c r="A1025" s="37">
        <v>1023.0</v>
      </c>
      <c r="B1025" s="214" t="s">
        <v>941</v>
      </c>
      <c r="C1025" s="190"/>
      <c r="D1025" s="212">
        <v>46058.0</v>
      </c>
      <c r="E1025" s="213">
        <v>20000.0</v>
      </c>
      <c r="F1025" s="190"/>
      <c r="G1025" s="210">
        <f t="shared" si="4"/>
        <v>20000</v>
      </c>
      <c r="H1025" s="94"/>
      <c r="I1025" s="94"/>
      <c r="J1025" s="94"/>
      <c r="K1025" s="94"/>
    </row>
    <row r="1026" ht="22.5" customHeight="1">
      <c r="A1026" s="55">
        <v>1024.0</v>
      </c>
      <c r="B1026" s="214" t="s">
        <v>840</v>
      </c>
      <c r="C1026" s="190"/>
      <c r="D1026" s="212">
        <v>46058.0</v>
      </c>
      <c r="E1026" s="213">
        <v>45800.0</v>
      </c>
      <c r="F1026" s="190"/>
      <c r="G1026" s="210">
        <f t="shared" si="4"/>
        <v>45800</v>
      </c>
      <c r="H1026" s="94"/>
      <c r="I1026" s="94"/>
      <c r="J1026" s="94"/>
      <c r="K1026" s="94"/>
    </row>
    <row r="1027" ht="22.5" customHeight="1">
      <c r="A1027" s="37">
        <v>1025.0</v>
      </c>
      <c r="B1027" s="214" t="s">
        <v>847</v>
      </c>
      <c r="C1027" s="190"/>
      <c r="D1027" s="212">
        <v>46058.0</v>
      </c>
      <c r="E1027" s="213">
        <v>75000.0</v>
      </c>
      <c r="F1027" s="190"/>
      <c r="G1027" s="210">
        <f t="shared" si="4"/>
        <v>75000</v>
      </c>
      <c r="H1027" s="94"/>
      <c r="I1027" s="94"/>
      <c r="J1027" s="94"/>
      <c r="K1027" s="94"/>
    </row>
    <row r="1028" ht="22.5" customHeight="1">
      <c r="A1028" s="55">
        <v>1026.0</v>
      </c>
      <c r="B1028" s="214" t="s">
        <v>953</v>
      </c>
      <c r="C1028" s="190"/>
      <c r="D1028" s="212">
        <v>46058.0</v>
      </c>
      <c r="E1028" s="213">
        <v>37910.0</v>
      </c>
      <c r="F1028" s="190"/>
      <c r="G1028" s="210">
        <f t="shared" si="4"/>
        <v>37910</v>
      </c>
      <c r="H1028" s="94"/>
      <c r="I1028" s="94"/>
      <c r="J1028" s="94"/>
      <c r="K1028" s="94"/>
    </row>
    <row r="1029" ht="22.5" customHeight="1">
      <c r="A1029" s="37">
        <v>1027.0</v>
      </c>
      <c r="B1029" s="214" t="s">
        <v>839</v>
      </c>
      <c r="C1029" s="190"/>
      <c r="D1029" s="212">
        <v>46058.0</v>
      </c>
      <c r="E1029" s="213">
        <v>28500.0</v>
      </c>
      <c r="F1029" s="190"/>
      <c r="G1029" s="210">
        <f t="shared" si="4"/>
        <v>28500</v>
      </c>
      <c r="H1029" s="94"/>
      <c r="I1029" s="94"/>
      <c r="J1029" s="94"/>
      <c r="K1029" s="94"/>
    </row>
    <row r="1030" ht="22.5" customHeight="1">
      <c r="A1030" s="55">
        <v>1028.0</v>
      </c>
      <c r="B1030" s="214" t="s">
        <v>541</v>
      </c>
      <c r="C1030" s="190"/>
      <c r="D1030" s="212">
        <v>46058.0</v>
      </c>
      <c r="E1030" s="213">
        <v>11409.0</v>
      </c>
      <c r="F1030" s="190"/>
      <c r="G1030" s="210">
        <f t="shared" si="4"/>
        <v>11409</v>
      </c>
      <c r="H1030" s="94"/>
      <c r="I1030" s="94"/>
      <c r="J1030" s="94"/>
      <c r="K1030" s="94"/>
    </row>
    <row r="1031" ht="22.5" customHeight="1">
      <c r="A1031" s="37">
        <v>1029.0</v>
      </c>
      <c r="B1031" s="214" t="s">
        <v>930</v>
      </c>
      <c r="C1031" s="190"/>
      <c r="D1031" s="212">
        <v>46058.0</v>
      </c>
      <c r="E1031" s="213">
        <v>21391.0</v>
      </c>
      <c r="F1031" s="190"/>
      <c r="G1031" s="210">
        <f t="shared" si="4"/>
        <v>21391</v>
      </c>
      <c r="H1031" s="94"/>
      <c r="I1031" s="94"/>
      <c r="J1031" s="94"/>
      <c r="K1031" s="94"/>
    </row>
    <row r="1032" ht="22.5" customHeight="1">
      <c r="A1032" s="55">
        <v>1030.0</v>
      </c>
      <c r="B1032" s="214" t="s">
        <v>954</v>
      </c>
      <c r="C1032" s="190"/>
      <c r="D1032" s="212">
        <v>46058.0</v>
      </c>
      <c r="E1032" s="213">
        <v>14000.0</v>
      </c>
      <c r="F1032" s="190"/>
      <c r="G1032" s="210">
        <f t="shared" si="4"/>
        <v>14000</v>
      </c>
      <c r="H1032" s="94"/>
      <c r="I1032" s="94"/>
      <c r="J1032" s="94"/>
      <c r="K1032" s="94"/>
    </row>
    <row r="1033" ht="22.5" customHeight="1">
      <c r="A1033" s="37">
        <v>1031.0</v>
      </c>
      <c r="B1033" s="214" t="s">
        <v>836</v>
      </c>
      <c r="C1033" s="190"/>
      <c r="D1033" s="212">
        <v>46058.0</v>
      </c>
      <c r="E1033" s="213">
        <v>14050.0</v>
      </c>
      <c r="F1033" s="190"/>
      <c r="G1033" s="210">
        <f t="shared" si="4"/>
        <v>14050</v>
      </c>
      <c r="H1033" s="94"/>
      <c r="I1033" s="94"/>
      <c r="J1033" s="94"/>
      <c r="K1033" s="94"/>
    </row>
    <row r="1034" ht="22.5" customHeight="1">
      <c r="A1034" s="55">
        <v>1032.0</v>
      </c>
      <c r="B1034" s="214" t="s">
        <v>955</v>
      </c>
      <c r="C1034" s="190"/>
      <c r="D1034" s="212">
        <v>46058.0</v>
      </c>
      <c r="E1034" s="213">
        <v>13999.0</v>
      </c>
      <c r="F1034" s="190"/>
      <c r="G1034" s="210">
        <f t="shared" si="4"/>
        <v>13999</v>
      </c>
      <c r="H1034" s="94"/>
      <c r="I1034" s="94"/>
      <c r="J1034" s="94"/>
      <c r="K1034" s="94"/>
    </row>
    <row r="1035" ht="22.5" customHeight="1">
      <c r="A1035" s="37">
        <v>1033.0</v>
      </c>
      <c r="B1035" s="214" t="s">
        <v>908</v>
      </c>
      <c r="C1035" s="190"/>
      <c r="D1035" s="212">
        <v>46058.0</v>
      </c>
      <c r="E1035" s="213">
        <v>15500.0</v>
      </c>
      <c r="F1035" s="190"/>
      <c r="G1035" s="210">
        <f t="shared" si="4"/>
        <v>15500</v>
      </c>
      <c r="H1035" s="94"/>
      <c r="I1035" s="94"/>
      <c r="J1035" s="94"/>
      <c r="K1035" s="94"/>
    </row>
    <row r="1036" ht="22.5" customHeight="1">
      <c r="A1036" s="55">
        <v>1034.0</v>
      </c>
      <c r="B1036" s="214" t="s">
        <v>939</v>
      </c>
      <c r="C1036" s="190"/>
      <c r="D1036" s="212">
        <v>46058.0</v>
      </c>
      <c r="E1036" s="213">
        <v>10000.0</v>
      </c>
      <c r="F1036" s="190"/>
      <c r="G1036" s="210">
        <f t="shared" si="4"/>
        <v>10000</v>
      </c>
      <c r="H1036" s="94"/>
      <c r="I1036" s="94"/>
      <c r="J1036" s="94"/>
      <c r="K1036" s="94"/>
    </row>
    <row r="1037" ht="22.5" customHeight="1">
      <c r="A1037" s="37">
        <v>1035.0</v>
      </c>
      <c r="B1037" s="214" t="s">
        <v>956</v>
      </c>
      <c r="C1037" s="190"/>
      <c r="D1037" s="212">
        <v>46058.0</v>
      </c>
      <c r="E1037" s="213">
        <v>2000.0</v>
      </c>
      <c r="F1037" s="190"/>
      <c r="G1037" s="210">
        <f t="shared" si="4"/>
        <v>2000</v>
      </c>
      <c r="H1037" s="94"/>
      <c r="I1037" s="94"/>
      <c r="J1037" s="94"/>
      <c r="K1037" s="94"/>
    </row>
    <row r="1038" ht="22.5" customHeight="1">
      <c r="A1038" s="55">
        <v>1036.0</v>
      </c>
      <c r="B1038" s="214" t="s">
        <v>957</v>
      </c>
      <c r="C1038" s="190"/>
      <c r="D1038" s="212">
        <v>46058.0</v>
      </c>
      <c r="E1038" s="213">
        <v>8500.0</v>
      </c>
      <c r="F1038" s="190"/>
      <c r="G1038" s="210">
        <f t="shared" si="4"/>
        <v>8500</v>
      </c>
      <c r="H1038" s="94"/>
      <c r="I1038" s="94"/>
      <c r="J1038" s="94"/>
      <c r="K1038" s="94"/>
    </row>
    <row r="1039" ht="22.5" customHeight="1">
      <c r="A1039" s="37">
        <v>1037.0</v>
      </c>
      <c r="B1039" s="214" t="s">
        <v>339</v>
      </c>
      <c r="C1039" s="190"/>
      <c r="D1039" s="212">
        <v>46058.0</v>
      </c>
      <c r="E1039" s="213">
        <v>22524.0</v>
      </c>
      <c r="F1039" s="190"/>
      <c r="G1039" s="210">
        <f t="shared" si="4"/>
        <v>22524</v>
      </c>
      <c r="H1039" s="94"/>
      <c r="I1039" s="94"/>
      <c r="J1039" s="94"/>
      <c r="K1039" s="94"/>
    </row>
    <row r="1040" ht="22.5" customHeight="1">
      <c r="A1040" s="55">
        <v>1038.0</v>
      </c>
      <c r="B1040" s="214" t="s">
        <v>958</v>
      </c>
      <c r="C1040" s="190"/>
      <c r="D1040" s="212">
        <v>46058.0</v>
      </c>
      <c r="E1040" s="213">
        <v>23000.0</v>
      </c>
      <c r="F1040" s="190"/>
      <c r="G1040" s="210">
        <f t="shared" si="4"/>
        <v>23000</v>
      </c>
      <c r="H1040" s="94"/>
      <c r="I1040" s="94"/>
      <c r="J1040" s="94"/>
      <c r="K1040" s="94"/>
    </row>
    <row r="1041" ht="22.5" customHeight="1">
      <c r="A1041" s="37">
        <v>1039.0</v>
      </c>
      <c r="B1041" s="214" t="s">
        <v>959</v>
      </c>
      <c r="C1041" s="190"/>
      <c r="D1041" s="212">
        <v>46058.0</v>
      </c>
      <c r="E1041" s="213">
        <v>7250.0</v>
      </c>
      <c r="F1041" s="190"/>
      <c r="G1041" s="210">
        <f t="shared" si="4"/>
        <v>7250</v>
      </c>
      <c r="H1041" s="94"/>
      <c r="I1041" s="94"/>
      <c r="J1041" s="94"/>
      <c r="K1041" s="94"/>
    </row>
    <row r="1042" ht="22.5" customHeight="1">
      <c r="A1042" s="55">
        <v>1040.0</v>
      </c>
      <c r="B1042" s="214" t="s">
        <v>960</v>
      </c>
      <c r="C1042" s="190"/>
      <c r="D1042" s="212">
        <v>46058.0</v>
      </c>
      <c r="E1042" s="213">
        <v>6000.0</v>
      </c>
      <c r="F1042" s="190"/>
      <c r="G1042" s="210">
        <f t="shared" si="4"/>
        <v>6000</v>
      </c>
      <c r="H1042" s="94"/>
      <c r="I1042" s="94"/>
      <c r="J1042" s="94"/>
      <c r="K1042" s="94"/>
    </row>
    <row r="1043" ht="22.5" customHeight="1">
      <c r="A1043" s="37">
        <v>1041.0</v>
      </c>
      <c r="B1043" s="214" t="s">
        <v>879</v>
      </c>
      <c r="C1043" s="190"/>
      <c r="D1043" s="212">
        <v>46058.0</v>
      </c>
      <c r="E1043" s="213">
        <v>45200.0</v>
      </c>
      <c r="F1043" s="190"/>
      <c r="G1043" s="210">
        <f t="shared" si="4"/>
        <v>45200</v>
      </c>
      <c r="H1043" s="94"/>
      <c r="I1043" s="94"/>
      <c r="J1043" s="94"/>
      <c r="K1043" s="94"/>
    </row>
    <row r="1044" ht="22.5" customHeight="1">
      <c r="A1044" s="55">
        <v>1042.0</v>
      </c>
      <c r="B1044" s="214" t="s">
        <v>818</v>
      </c>
      <c r="C1044" s="190"/>
      <c r="D1044" s="212">
        <v>46058.0</v>
      </c>
      <c r="E1044" s="213">
        <v>1137.0</v>
      </c>
      <c r="F1044" s="190"/>
      <c r="G1044" s="210">
        <f t="shared" si="4"/>
        <v>1137</v>
      </c>
      <c r="H1044" s="94"/>
      <c r="I1044" s="94"/>
      <c r="J1044" s="94"/>
      <c r="K1044" s="94"/>
    </row>
    <row r="1045" ht="22.5" customHeight="1">
      <c r="A1045" s="37">
        <v>1043.0</v>
      </c>
      <c r="B1045" s="214" t="s">
        <v>961</v>
      </c>
      <c r="C1045" s="190"/>
      <c r="D1045" s="212">
        <v>46058.0</v>
      </c>
      <c r="E1045" s="213">
        <v>374.0</v>
      </c>
      <c r="F1045" s="190"/>
      <c r="G1045" s="210">
        <f t="shared" si="4"/>
        <v>374</v>
      </c>
      <c r="H1045" s="94"/>
      <c r="I1045" s="94"/>
      <c r="J1045" s="94"/>
      <c r="K1045" s="94"/>
    </row>
    <row r="1046" ht="22.5" customHeight="1">
      <c r="A1046" s="55">
        <v>1044.0</v>
      </c>
      <c r="B1046" s="214" t="s">
        <v>225</v>
      </c>
      <c r="C1046" s="190"/>
      <c r="D1046" s="212">
        <v>46058.0</v>
      </c>
      <c r="E1046" s="213">
        <v>57732.0</v>
      </c>
      <c r="F1046" s="190"/>
      <c r="G1046" s="210">
        <f t="shared" si="4"/>
        <v>57732</v>
      </c>
      <c r="H1046" s="94"/>
      <c r="I1046" s="94"/>
      <c r="J1046" s="94"/>
      <c r="K1046" s="94"/>
    </row>
    <row r="1047" ht="22.5" customHeight="1">
      <c r="A1047" s="37">
        <v>1045.0</v>
      </c>
      <c r="B1047" s="214" t="s">
        <v>897</v>
      </c>
      <c r="C1047" s="190"/>
      <c r="D1047" s="212">
        <v>46058.0</v>
      </c>
      <c r="E1047" s="213">
        <v>250000.0</v>
      </c>
      <c r="F1047" s="190"/>
      <c r="G1047" s="210">
        <f t="shared" si="4"/>
        <v>250000</v>
      </c>
      <c r="H1047" s="94"/>
      <c r="I1047" s="94"/>
      <c r="J1047" s="94"/>
      <c r="K1047" s="94"/>
    </row>
    <row r="1048" ht="22.5" customHeight="1">
      <c r="A1048" s="55">
        <v>1046.0</v>
      </c>
      <c r="B1048" s="214" t="s">
        <v>109</v>
      </c>
      <c r="C1048" s="190"/>
      <c r="D1048" s="212">
        <v>46059.0</v>
      </c>
      <c r="E1048" s="213">
        <v>10314.0</v>
      </c>
      <c r="F1048" s="190"/>
      <c r="G1048" s="210">
        <f t="shared" si="4"/>
        <v>10314</v>
      </c>
      <c r="H1048" s="94"/>
      <c r="I1048" s="94"/>
      <c r="J1048" s="94"/>
      <c r="K1048" s="94"/>
    </row>
    <row r="1049" ht="22.5" customHeight="1">
      <c r="A1049" s="37">
        <v>1047.0</v>
      </c>
      <c r="B1049" s="214" t="s">
        <v>952</v>
      </c>
      <c r="C1049" s="190"/>
      <c r="D1049" s="212">
        <v>46059.0</v>
      </c>
      <c r="E1049" s="213">
        <v>35200.0</v>
      </c>
      <c r="F1049" s="190"/>
      <c r="G1049" s="210">
        <f t="shared" si="4"/>
        <v>35200</v>
      </c>
      <c r="H1049" s="94"/>
      <c r="I1049" s="94"/>
      <c r="J1049" s="94"/>
      <c r="K1049" s="94"/>
    </row>
    <row r="1050" ht="22.5" customHeight="1">
      <c r="A1050" s="55">
        <v>1048.0</v>
      </c>
      <c r="B1050" s="214" t="s">
        <v>962</v>
      </c>
      <c r="C1050" s="190"/>
      <c r="D1050" s="212">
        <v>46059.0</v>
      </c>
      <c r="E1050" s="213">
        <v>33760.0</v>
      </c>
      <c r="F1050" s="190"/>
      <c r="G1050" s="210">
        <f t="shared" si="4"/>
        <v>33760</v>
      </c>
      <c r="H1050" s="94"/>
      <c r="I1050" s="94"/>
      <c r="J1050" s="94"/>
      <c r="K1050" s="94"/>
    </row>
    <row r="1051" ht="22.5" customHeight="1">
      <c r="A1051" s="37">
        <v>1049.0</v>
      </c>
      <c r="B1051" s="214" t="s">
        <v>963</v>
      </c>
      <c r="C1051" s="190"/>
      <c r="D1051" s="212">
        <v>46059.0</v>
      </c>
      <c r="E1051" s="213">
        <v>358.0</v>
      </c>
      <c r="F1051" s="190"/>
      <c r="G1051" s="210">
        <f t="shared" si="4"/>
        <v>358</v>
      </c>
      <c r="H1051" s="94"/>
      <c r="I1051" s="94"/>
      <c r="J1051" s="94"/>
      <c r="K1051" s="94"/>
    </row>
    <row r="1052" ht="22.5" customHeight="1">
      <c r="A1052" s="55">
        <v>1050.0</v>
      </c>
      <c r="B1052" s="214" t="s">
        <v>916</v>
      </c>
      <c r="C1052" s="190"/>
      <c r="D1052" s="212">
        <v>46059.0</v>
      </c>
      <c r="E1052" s="213">
        <v>30000.0</v>
      </c>
      <c r="F1052" s="190"/>
      <c r="G1052" s="210">
        <f t="shared" si="4"/>
        <v>30000</v>
      </c>
      <c r="H1052" s="94"/>
      <c r="I1052" s="94"/>
      <c r="J1052" s="94"/>
      <c r="K1052" s="94"/>
    </row>
    <row r="1053" ht="22.5" customHeight="1">
      <c r="A1053" s="37">
        <v>1051.0</v>
      </c>
      <c r="B1053" s="214" t="s">
        <v>964</v>
      </c>
      <c r="C1053" s="190"/>
      <c r="D1053" s="212">
        <v>46059.0</v>
      </c>
      <c r="E1053" s="213">
        <v>30000.0</v>
      </c>
      <c r="F1053" s="190"/>
      <c r="G1053" s="210">
        <f t="shared" si="4"/>
        <v>30000</v>
      </c>
      <c r="H1053" s="94"/>
      <c r="I1053" s="94"/>
      <c r="J1053" s="94"/>
      <c r="K1053" s="94"/>
    </row>
    <row r="1054" ht="22.5" customHeight="1">
      <c r="A1054" s="55">
        <v>1052.0</v>
      </c>
      <c r="B1054" s="214" t="s">
        <v>142</v>
      </c>
      <c r="C1054" s="190"/>
      <c r="D1054" s="212">
        <v>46059.0</v>
      </c>
      <c r="E1054" s="213">
        <v>49000.0</v>
      </c>
      <c r="F1054" s="190"/>
      <c r="G1054" s="210">
        <f t="shared" si="4"/>
        <v>49000</v>
      </c>
      <c r="H1054" s="94"/>
      <c r="I1054" s="94"/>
      <c r="J1054" s="94"/>
      <c r="K1054" s="94"/>
    </row>
    <row r="1055" ht="22.5" customHeight="1">
      <c r="A1055" s="37">
        <v>1053.0</v>
      </c>
      <c r="B1055" s="214" t="s">
        <v>109</v>
      </c>
      <c r="C1055" s="190"/>
      <c r="D1055" s="212">
        <v>46060.0</v>
      </c>
      <c r="E1055" s="213">
        <v>14355.0</v>
      </c>
      <c r="F1055" s="190"/>
      <c r="G1055" s="210">
        <f t="shared" si="4"/>
        <v>14355</v>
      </c>
      <c r="H1055" s="94"/>
      <c r="I1055" s="94"/>
      <c r="J1055" s="94"/>
      <c r="K1055" s="94"/>
    </row>
    <row r="1056" ht="22.5" customHeight="1">
      <c r="A1056" s="55">
        <v>1054.0</v>
      </c>
      <c r="B1056" s="214" t="s">
        <v>109</v>
      </c>
      <c r="C1056" s="190"/>
      <c r="D1056" s="212">
        <v>46060.0</v>
      </c>
      <c r="E1056" s="213">
        <v>40000.0</v>
      </c>
      <c r="F1056" s="190"/>
      <c r="G1056" s="210">
        <f t="shared" si="4"/>
        <v>40000</v>
      </c>
      <c r="H1056" s="94"/>
      <c r="I1056" s="94"/>
      <c r="J1056" s="94"/>
      <c r="K1056" s="94"/>
    </row>
    <row r="1057" ht="22.5" customHeight="1">
      <c r="A1057" s="37">
        <v>1055.0</v>
      </c>
      <c r="B1057" s="214" t="s">
        <v>965</v>
      </c>
      <c r="C1057" s="190"/>
      <c r="D1057" s="212">
        <v>46060.0</v>
      </c>
      <c r="E1057" s="213">
        <v>30000.0</v>
      </c>
      <c r="F1057" s="190"/>
      <c r="G1057" s="210">
        <f t="shared" si="4"/>
        <v>30000</v>
      </c>
      <c r="H1057" s="94"/>
      <c r="I1057" s="94"/>
      <c r="J1057" s="94"/>
      <c r="K1057" s="94"/>
    </row>
    <row r="1058" ht="22.5" customHeight="1">
      <c r="A1058" s="55">
        <v>1056.0</v>
      </c>
      <c r="B1058" s="214" t="s">
        <v>916</v>
      </c>
      <c r="C1058" s="190"/>
      <c r="D1058" s="212">
        <v>46060.0</v>
      </c>
      <c r="E1058" s="213">
        <v>12000.0</v>
      </c>
      <c r="F1058" s="190"/>
      <c r="G1058" s="210">
        <f t="shared" si="4"/>
        <v>12000</v>
      </c>
      <c r="H1058" s="94"/>
      <c r="I1058" s="94"/>
      <c r="J1058" s="94"/>
      <c r="K1058" s="94"/>
    </row>
    <row r="1059" ht="22.5" customHeight="1">
      <c r="A1059" s="37">
        <v>1057.0</v>
      </c>
      <c r="B1059" s="214" t="s">
        <v>774</v>
      </c>
      <c r="C1059" s="190"/>
      <c r="D1059" s="212">
        <v>46060.0</v>
      </c>
      <c r="E1059" s="213">
        <v>31000.0</v>
      </c>
      <c r="F1059" s="190"/>
      <c r="G1059" s="210">
        <f t="shared" si="4"/>
        <v>31000</v>
      </c>
      <c r="H1059" s="94"/>
      <c r="I1059" s="94"/>
      <c r="J1059" s="94"/>
      <c r="K1059" s="94"/>
    </row>
    <row r="1060" ht="22.5" customHeight="1">
      <c r="A1060" s="55">
        <v>1058.0</v>
      </c>
      <c r="B1060" s="214" t="s">
        <v>966</v>
      </c>
      <c r="C1060" s="190"/>
      <c r="D1060" s="212">
        <v>46060.0</v>
      </c>
      <c r="E1060" s="213">
        <v>32240.0</v>
      </c>
      <c r="F1060" s="190"/>
      <c r="G1060" s="210">
        <f t="shared" si="4"/>
        <v>32240</v>
      </c>
      <c r="H1060" s="94"/>
      <c r="I1060" s="94"/>
      <c r="J1060" s="94"/>
      <c r="K1060" s="94"/>
    </row>
    <row r="1061" ht="22.5" customHeight="1">
      <c r="A1061" s="37">
        <v>1059.0</v>
      </c>
      <c r="B1061" s="214" t="s">
        <v>967</v>
      </c>
      <c r="C1061" s="190"/>
      <c r="D1061" s="212">
        <v>46060.0</v>
      </c>
      <c r="E1061" s="213">
        <v>55813.0</v>
      </c>
      <c r="F1061" s="190"/>
      <c r="G1061" s="210">
        <f t="shared" si="4"/>
        <v>55813</v>
      </c>
      <c r="H1061" s="94"/>
      <c r="I1061" s="94"/>
      <c r="J1061" s="94"/>
      <c r="K1061" s="94"/>
    </row>
    <row r="1062" ht="22.5" customHeight="1">
      <c r="A1062" s="55">
        <v>1060.0</v>
      </c>
      <c r="B1062" s="214" t="s">
        <v>890</v>
      </c>
      <c r="C1062" s="190"/>
      <c r="D1062" s="212">
        <v>46060.0</v>
      </c>
      <c r="E1062" s="213">
        <v>3255.0</v>
      </c>
      <c r="F1062" s="190"/>
      <c r="G1062" s="210">
        <f t="shared" si="4"/>
        <v>3255</v>
      </c>
      <c r="H1062" s="94"/>
      <c r="I1062" s="94"/>
      <c r="J1062" s="94"/>
      <c r="K1062" s="94"/>
    </row>
    <row r="1063" ht="22.5" customHeight="1">
      <c r="A1063" s="37">
        <v>1061.0</v>
      </c>
      <c r="B1063" s="214" t="s">
        <v>858</v>
      </c>
      <c r="C1063" s="190"/>
      <c r="D1063" s="212">
        <v>46061.0</v>
      </c>
      <c r="E1063" s="213">
        <v>2835.09</v>
      </c>
      <c r="F1063" s="190"/>
      <c r="G1063" s="210">
        <f t="shared" si="4"/>
        <v>2835.09</v>
      </c>
      <c r="H1063" s="94"/>
      <c r="I1063" s="94"/>
      <c r="J1063" s="94"/>
      <c r="K1063" s="94"/>
    </row>
    <row r="1064" ht="22.5" customHeight="1">
      <c r="A1064" s="55">
        <v>1062.0</v>
      </c>
      <c r="B1064" s="214" t="s">
        <v>921</v>
      </c>
      <c r="C1064" s="190"/>
      <c r="D1064" s="212">
        <v>46062.0</v>
      </c>
      <c r="E1064" s="213">
        <v>3307.61</v>
      </c>
      <c r="F1064" s="190"/>
      <c r="G1064" s="210">
        <f t="shared" si="4"/>
        <v>3307.61</v>
      </c>
      <c r="H1064" s="94"/>
      <c r="I1064" s="94"/>
      <c r="J1064" s="94"/>
      <c r="K1064" s="94"/>
    </row>
    <row r="1065" ht="22.5" customHeight="1">
      <c r="A1065" s="37">
        <v>1063.0</v>
      </c>
      <c r="B1065" s="214" t="s">
        <v>863</v>
      </c>
      <c r="C1065" s="190"/>
      <c r="D1065" s="212">
        <v>46062.0</v>
      </c>
      <c r="E1065" s="213">
        <v>5900.0</v>
      </c>
      <c r="F1065" s="190"/>
      <c r="G1065" s="210">
        <f t="shared" si="4"/>
        <v>5900</v>
      </c>
      <c r="H1065" s="94"/>
      <c r="I1065" s="94"/>
      <c r="J1065" s="94"/>
      <c r="K1065" s="94"/>
    </row>
    <row r="1066" ht="22.5" customHeight="1">
      <c r="A1066" s="55">
        <v>1064.0</v>
      </c>
      <c r="B1066" s="214" t="s">
        <v>847</v>
      </c>
      <c r="C1066" s="190"/>
      <c r="D1066" s="212">
        <v>46062.0</v>
      </c>
      <c r="E1066" s="213">
        <v>10000.0</v>
      </c>
      <c r="F1066" s="190"/>
      <c r="G1066" s="210">
        <f t="shared" si="4"/>
        <v>10000</v>
      </c>
      <c r="H1066" s="94"/>
      <c r="I1066" s="94"/>
      <c r="J1066" s="94"/>
      <c r="K1066" s="94"/>
    </row>
    <row r="1067" ht="22.5" customHeight="1">
      <c r="A1067" s="37">
        <v>1065.0</v>
      </c>
      <c r="B1067" s="214" t="s">
        <v>968</v>
      </c>
      <c r="C1067" s="190"/>
      <c r="D1067" s="212">
        <v>46062.0</v>
      </c>
      <c r="E1067" s="213">
        <v>4500.0</v>
      </c>
      <c r="F1067" s="190"/>
      <c r="G1067" s="210">
        <f t="shared" si="4"/>
        <v>4500</v>
      </c>
      <c r="H1067" s="94"/>
      <c r="I1067" s="94"/>
      <c r="J1067" s="94"/>
      <c r="K1067" s="94"/>
    </row>
    <row r="1068" ht="22.5" customHeight="1">
      <c r="A1068" s="55">
        <v>1066.0</v>
      </c>
      <c r="B1068" s="214" t="s">
        <v>762</v>
      </c>
      <c r="C1068" s="190"/>
      <c r="D1068" s="212">
        <v>46063.0</v>
      </c>
      <c r="E1068" s="213">
        <v>7500.0</v>
      </c>
      <c r="F1068" s="190"/>
      <c r="G1068" s="210">
        <f t="shared" si="4"/>
        <v>7500</v>
      </c>
      <c r="H1068" s="94"/>
      <c r="I1068" s="94"/>
      <c r="J1068" s="94"/>
      <c r="K1068" s="94"/>
    </row>
    <row r="1069" ht="22.5" customHeight="1">
      <c r="A1069" s="37">
        <v>1067.0</v>
      </c>
      <c r="B1069" s="214" t="s">
        <v>879</v>
      </c>
      <c r="C1069" s="190"/>
      <c r="D1069" s="212">
        <v>46063.0</v>
      </c>
      <c r="E1069" s="213">
        <v>20000.0</v>
      </c>
      <c r="F1069" s="190"/>
      <c r="G1069" s="210">
        <f t="shared" si="4"/>
        <v>20000</v>
      </c>
      <c r="H1069" s="94"/>
      <c r="I1069" s="94"/>
      <c r="J1069" s="94"/>
      <c r="K1069" s="94"/>
    </row>
    <row r="1070" ht="22.5" customHeight="1">
      <c r="A1070" s="55">
        <v>1068.0</v>
      </c>
      <c r="B1070" s="214" t="s">
        <v>53</v>
      </c>
      <c r="C1070" s="190"/>
      <c r="D1070" s="212">
        <v>46064.0</v>
      </c>
      <c r="E1070" s="213">
        <v>1246364.0</v>
      </c>
      <c r="F1070" s="190"/>
      <c r="G1070" s="210">
        <f t="shared" si="4"/>
        <v>1246364</v>
      </c>
      <c r="H1070" s="94"/>
      <c r="I1070" s="94"/>
      <c r="J1070" s="94"/>
      <c r="K1070" s="94"/>
    </row>
    <row r="1071" ht="22.5" customHeight="1">
      <c r="A1071" s="37">
        <v>1069.0</v>
      </c>
      <c r="B1071" s="214" t="s">
        <v>969</v>
      </c>
      <c r="C1071" s="190"/>
      <c r="D1071" s="212">
        <v>46064.0</v>
      </c>
      <c r="E1071" s="213">
        <v>44000.0</v>
      </c>
      <c r="F1071" s="190"/>
      <c r="G1071" s="210">
        <f t="shared" si="4"/>
        <v>44000</v>
      </c>
      <c r="H1071" s="94"/>
      <c r="I1071" s="94"/>
      <c r="J1071" s="94"/>
      <c r="K1071" s="94"/>
    </row>
    <row r="1072" ht="22.5" customHeight="1">
      <c r="A1072" s="55">
        <v>1070.0</v>
      </c>
      <c r="B1072" s="214" t="s">
        <v>941</v>
      </c>
      <c r="C1072" s="190"/>
      <c r="D1072" s="212">
        <v>46064.0</v>
      </c>
      <c r="E1072" s="213">
        <v>27500.0</v>
      </c>
      <c r="F1072" s="190"/>
      <c r="G1072" s="210">
        <f t="shared" si="4"/>
        <v>27500</v>
      </c>
      <c r="H1072" s="94"/>
      <c r="I1072" s="94"/>
      <c r="J1072" s="94"/>
      <c r="K1072" s="94"/>
    </row>
    <row r="1073" ht="22.5" customHeight="1">
      <c r="A1073" s="37">
        <v>1071.0</v>
      </c>
      <c r="B1073" s="214" t="s">
        <v>970</v>
      </c>
      <c r="C1073" s="190"/>
      <c r="D1073" s="212">
        <v>46064.0</v>
      </c>
      <c r="E1073" s="213">
        <v>10000.0</v>
      </c>
      <c r="F1073" s="190"/>
      <c r="G1073" s="210">
        <f t="shared" si="4"/>
        <v>10000</v>
      </c>
      <c r="H1073" s="94"/>
      <c r="I1073" s="94"/>
      <c r="J1073" s="94"/>
      <c r="K1073" s="94"/>
    </row>
    <row r="1074" ht="22.5" customHeight="1">
      <c r="A1074" s="55">
        <v>1072.0</v>
      </c>
      <c r="B1074" s="214" t="s">
        <v>780</v>
      </c>
      <c r="C1074" s="190"/>
      <c r="D1074" s="212">
        <v>46065.0</v>
      </c>
      <c r="E1074" s="213">
        <v>14095.7</v>
      </c>
      <c r="F1074" s="190"/>
      <c r="G1074" s="210">
        <f t="shared" si="4"/>
        <v>14095.7</v>
      </c>
      <c r="H1074" s="94"/>
      <c r="I1074" s="94"/>
      <c r="J1074" s="94"/>
      <c r="K1074" s="94"/>
    </row>
    <row r="1075" ht="22.5" customHeight="1">
      <c r="A1075" s="37">
        <v>1073.0</v>
      </c>
      <c r="B1075" s="214" t="s">
        <v>784</v>
      </c>
      <c r="C1075" s="190"/>
      <c r="D1075" s="212">
        <v>46065.0</v>
      </c>
      <c r="E1075" s="213">
        <v>1892.03</v>
      </c>
      <c r="F1075" s="190"/>
      <c r="G1075" s="210">
        <f t="shared" si="4"/>
        <v>1892.03</v>
      </c>
      <c r="H1075" s="94"/>
      <c r="I1075" s="94"/>
      <c r="J1075" s="94"/>
      <c r="K1075" s="94"/>
    </row>
    <row r="1076" ht="22.5" customHeight="1">
      <c r="A1076" s="55">
        <v>1074.0</v>
      </c>
      <c r="B1076" s="214" t="s">
        <v>118</v>
      </c>
      <c r="C1076" s="190"/>
      <c r="D1076" s="212">
        <v>46065.0</v>
      </c>
      <c r="E1076" s="213">
        <v>1457.28</v>
      </c>
      <c r="F1076" s="190"/>
      <c r="G1076" s="210">
        <f t="shared" si="4"/>
        <v>1457.28</v>
      </c>
      <c r="H1076" s="94"/>
      <c r="I1076" s="94"/>
      <c r="J1076" s="94"/>
      <c r="K1076" s="94"/>
    </row>
    <row r="1077" ht="22.5" customHeight="1">
      <c r="A1077" s="37">
        <v>1075.0</v>
      </c>
      <c r="B1077" s="214" t="s">
        <v>362</v>
      </c>
      <c r="C1077" s="190"/>
      <c r="D1077" s="212">
        <v>46065.0</v>
      </c>
      <c r="E1077" s="213">
        <v>82000.0</v>
      </c>
      <c r="F1077" s="190"/>
      <c r="G1077" s="210">
        <f t="shared" si="4"/>
        <v>82000</v>
      </c>
      <c r="H1077" s="94"/>
      <c r="I1077" s="94"/>
      <c r="J1077" s="94"/>
      <c r="K1077" s="94"/>
    </row>
    <row r="1078" ht="22.5" customHeight="1">
      <c r="A1078" s="55">
        <v>1076.0</v>
      </c>
      <c r="B1078" s="214" t="s">
        <v>225</v>
      </c>
      <c r="C1078" s="190"/>
      <c r="D1078" s="212">
        <v>46065.0</v>
      </c>
      <c r="E1078" s="213">
        <v>51383.0</v>
      </c>
      <c r="F1078" s="190"/>
      <c r="G1078" s="210">
        <f t="shared" si="4"/>
        <v>51383</v>
      </c>
      <c r="H1078" s="94"/>
      <c r="I1078" s="94"/>
      <c r="J1078" s="94"/>
      <c r="K1078" s="94"/>
    </row>
    <row r="1079" ht="22.5" customHeight="1">
      <c r="A1079" s="37">
        <v>1077.0</v>
      </c>
      <c r="B1079" s="214" t="s">
        <v>933</v>
      </c>
      <c r="C1079" s="190"/>
      <c r="D1079" s="212">
        <v>46070.0</v>
      </c>
      <c r="E1079" s="213">
        <v>6697.15</v>
      </c>
      <c r="F1079" s="190"/>
      <c r="G1079" s="210">
        <f t="shared" si="4"/>
        <v>6697.15</v>
      </c>
      <c r="H1079" s="94"/>
      <c r="I1079" s="94"/>
      <c r="J1079" s="94"/>
      <c r="K1079" s="94"/>
    </row>
    <row r="1080" ht="22.5" customHeight="1">
      <c r="A1080" s="55">
        <v>1078.0</v>
      </c>
      <c r="B1080" s="214" t="s">
        <v>855</v>
      </c>
      <c r="C1080" s="190"/>
      <c r="D1080" s="212">
        <v>46071.0</v>
      </c>
      <c r="E1080" s="213">
        <v>31018.14</v>
      </c>
      <c r="F1080" s="190"/>
      <c r="G1080" s="210">
        <f t="shared" si="4"/>
        <v>31018.14</v>
      </c>
      <c r="H1080" s="94"/>
      <c r="I1080" s="94"/>
      <c r="J1080" s="94"/>
      <c r="K1080" s="94"/>
    </row>
    <row r="1081" ht="22.5" customHeight="1">
      <c r="A1081" s="37">
        <v>1079.0</v>
      </c>
      <c r="B1081" s="214" t="s">
        <v>762</v>
      </c>
      <c r="C1081" s="190"/>
      <c r="D1081" s="212">
        <v>46071.0</v>
      </c>
      <c r="E1081" s="213">
        <v>20034.0</v>
      </c>
      <c r="F1081" s="190"/>
      <c r="G1081" s="210">
        <f t="shared" si="4"/>
        <v>20034</v>
      </c>
      <c r="H1081" s="94"/>
      <c r="I1081" s="94"/>
      <c r="J1081" s="94"/>
      <c r="K1081" s="94"/>
    </row>
    <row r="1082" ht="22.5" customHeight="1">
      <c r="A1082" s="55">
        <v>1080.0</v>
      </c>
      <c r="B1082" s="214" t="s">
        <v>765</v>
      </c>
      <c r="C1082" s="190"/>
      <c r="D1082" s="212">
        <v>46071.0</v>
      </c>
      <c r="E1082" s="213">
        <v>5915.0</v>
      </c>
      <c r="F1082" s="190"/>
      <c r="G1082" s="210">
        <f t="shared" si="4"/>
        <v>5915</v>
      </c>
      <c r="H1082" s="94"/>
      <c r="I1082" s="94"/>
      <c r="J1082" s="94"/>
      <c r="K1082" s="94"/>
    </row>
    <row r="1083" ht="22.5" customHeight="1">
      <c r="A1083" s="37">
        <v>1081.0</v>
      </c>
      <c r="B1083" s="214" t="s">
        <v>937</v>
      </c>
      <c r="C1083" s="190"/>
      <c r="D1083" s="212">
        <v>46071.0</v>
      </c>
      <c r="E1083" s="213">
        <v>10000.0</v>
      </c>
      <c r="F1083" s="190"/>
      <c r="G1083" s="210">
        <f t="shared" si="4"/>
        <v>10000</v>
      </c>
      <c r="H1083" s="94"/>
      <c r="I1083" s="94"/>
      <c r="J1083" s="94"/>
      <c r="K1083" s="94"/>
    </row>
    <row r="1084" ht="22.5" customHeight="1">
      <c r="A1084" s="55">
        <v>1082.0</v>
      </c>
      <c r="B1084" s="214" t="s">
        <v>897</v>
      </c>
      <c r="C1084" s="190"/>
      <c r="D1084" s="212">
        <v>46071.0</v>
      </c>
      <c r="E1084" s="213">
        <v>400000.0</v>
      </c>
      <c r="F1084" s="190"/>
      <c r="G1084" s="210">
        <f t="shared" si="4"/>
        <v>400000</v>
      </c>
      <c r="H1084" s="94"/>
      <c r="I1084" s="94"/>
      <c r="J1084" s="94"/>
      <c r="K1084" s="94"/>
    </row>
    <row r="1085" ht="22.5" customHeight="1">
      <c r="A1085" s="37">
        <v>1083.0</v>
      </c>
      <c r="B1085" s="214" t="s">
        <v>921</v>
      </c>
      <c r="C1085" s="190"/>
      <c r="D1085" s="212">
        <v>46072.0</v>
      </c>
      <c r="E1085" s="213">
        <v>4631.2</v>
      </c>
      <c r="F1085" s="190"/>
      <c r="G1085" s="210">
        <f t="shared" si="4"/>
        <v>4631.2</v>
      </c>
      <c r="H1085" s="94"/>
      <c r="I1085" s="94"/>
      <c r="J1085" s="94"/>
      <c r="K1085" s="94"/>
    </row>
    <row r="1086" ht="22.5" customHeight="1">
      <c r="A1086" s="55">
        <v>1084.0</v>
      </c>
      <c r="B1086" s="214" t="s">
        <v>897</v>
      </c>
      <c r="C1086" s="190"/>
      <c r="D1086" s="212">
        <v>46074.0</v>
      </c>
      <c r="E1086" s="213">
        <v>240000.0</v>
      </c>
      <c r="F1086" s="190"/>
      <c r="G1086" s="210">
        <f t="shared" si="4"/>
        <v>240000</v>
      </c>
      <c r="H1086" s="94"/>
      <c r="I1086" s="94"/>
      <c r="J1086" s="94"/>
      <c r="K1086" s="94"/>
    </row>
    <row r="1087" ht="22.5" customHeight="1">
      <c r="A1087" s="37">
        <v>1085.0</v>
      </c>
      <c r="B1087" s="214" t="s">
        <v>142</v>
      </c>
      <c r="C1087" s="190"/>
      <c r="D1087" s="212">
        <v>46074.0</v>
      </c>
      <c r="E1087" s="213">
        <v>35000.0</v>
      </c>
      <c r="F1087" s="190"/>
      <c r="G1087" s="210">
        <f t="shared" si="4"/>
        <v>35000</v>
      </c>
      <c r="H1087" s="94"/>
      <c r="I1087" s="94"/>
      <c r="J1087" s="94"/>
      <c r="K1087" s="94"/>
    </row>
    <row r="1088" ht="22.5" customHeight="1">
      <c r="A1088" s="55">
        <v>1086.0</v>
      </c>
      <c r="B1088" s="214" t="s">
        <v>971</v>
      </c>
      <c r="C1088" s="190"/>
      <c r="D1088" s="212">
        <v>46074.0</v>
      </c>
      <c r="E1088" s="213">
        <v>25000.0</v>
      </c>
      <c r="F1088" s="190"/>
      <c r="G1088" s="210">
        <f t="shared" si="4"/>
        <v>25000</v>
      </c>
      <c r="H1088" s="94"/>
      <c r="I1088" s="94"/>
      <c r="J1088" s="94"/>
      <c r="K1088" s="94"/>
    </row>
    <row r="1089" ht="22.5" customHeight="1">
      <c r="A1089" s="37">
        <v>1087.0</v>
      </c>
      <c r="B1089" s="214" t="s">
        <v>855</v>
      </c>
      <c r="C1089" s="190"/>
      <c r="D1089" s="212">
        <v>46075.0</v>
      </c>
      <c r="E1089" s="213">
        <v>2327.14</v>
      </c>
      <c r="F1089" s="190"/>
      <c r="G1089" s="210">
        <f t="shared" si="4"/>
        <v>2327.14</v>
      </c>
      <c r="H1089" s="94"/>
      <c r="I1089" s="94"/>
      <c r="J1089" s="94"/>
      <c r="K1089" s="94"/>
    </row>
    <row r="1090" ht="22.5" customHeight="1">
      <c r="A1090" s="55">
        <v>1088.0</v>
      </c>
      <c r="B1090" s="214" t="s">
        <v>855</v>
      </c>
      <c r="C1090" s="190"/>
      <c r="D1090" s="212">
        <v>46075.0</v>
      </c>
      <c r="E1090" s="213">
        <v>2052.94</v>
      </c>
      <c r="F1090" s="190"/>
      <c r="G1090" s="210">
        <f t="shared" si="4"/>
        <v>2052.94</v>
      </c>
      <c r="H1090" s="94"/>
      <c r="I1090" s="94"/>
      <c r="J1090" s="94"/>
      <c r="K1090" s="94"/>
    </row>
    <row r="1091" ht="22.5" customHeight="1">
      <c r="A1091" s="37">
        <v>1089.0</v>
      </c>
      <c r="B1091" s="214" t="s">
        <v>784</v>
      </c>
      <c r="C1091" s="190"/>
      <c r="D1091" s="212">
        <v>46076.0</v>
      </c>
      <c r="E1091" s="213">
        <v>2022.58</v>
      </c>
      <c r="F1091" s="190"/>
      <c r="G1091" s="210">
        <f t="shared" si="4"/>
        <v>2022.58</v>
      </c>
      <c r="H1091" s="94"/>
      <c r="I1091" s="94"/>
      <c r="J1091" s="94"/>
      <c r="K1091" s="94"/>
    </row>
    <row r="1092" ht="22.5" customHeight="1">
      <c r="A1092" s="55">
        <v>1090.0</v>
      </c>
      <c r="B1092" s="214" t="s">
        <v>541</v>
      </c>
      <c r="C1092" s="190"/>
      <c r="D1092" s="212">
        <v>46077.0</v>
      </c>
      <c r="E1092" s="213">
        <v>9000.0</v>
      </c>
      <c r="F1092" s="190"/>
      <c r="G1092" s="210">
        <f t="shared" si="4"/>
        <v>9000</v>
      </c>
      <c r="H1092" s="94"/>
      <c r="I1092" s="94"/>
      <c r="J1092" s="94"/>
      <c r="K1092" s="94"/>
    </row>
    <row r="1093" ht="22.5" customHeight="1">
      <c r="A1093" s="37">
        <v>1091.0</v>
      </c>
      <c r="B1093" s="214" t="s">
        <v>879</v>
      </c>
      <c r="C1093" s="190"/>
      <c r="D1093" s="212">
        <v>46077.0</v>
      </c>
      <c r="E1093" s="213">
        <v>50000.0</v>
      </c>
      <c r="F1093" s="190"/>
      <c r="G1093" s="210">
        <f t="shared" si="4"/>
        <v>50000</v>
      </c>
      <c r="H1093" s="94"/>
      <c r="I1093" s="94"/>
      <c r="J1093" s="94"/>
      <c r="K1093" s="94"/>
    </row>
    <row r="1094" ht="22.5" customHeight="1">
      <c r="A1094" s="55">
        <v>1092.0</v>
      </c>
      <c r="B1094" s="214" t="s">
        <v>109</v>
      </c>
      <c r="C1094" s="190"/>
      <c r="D1094" s="212">
        <v>46078.0</v>
      </c>
      <c r="E1094" s="213">
        <v>21474.0</v>
      </c>
      <c r="F1094" s="190"/>
      <c r="G1094" s="210">
        <f t="shared" si="4"/>
        <v>21474</v>
      </c>
      <c r="H1094" s="94"/>
      <c r="I1094" s="94"/>
      <c r="J1094" s="94"/>
      <c r="K1094" s="94"/>
    </row>
    <row r="1095" ht="22.5" customHeight="1">
      <c r="A1095" s="37">
        <v>1093.0</v>
      </c>
      <c r="B1095" s="214" t="s">
        <v>855</v>
      </c>
      <c r="C1095" s="190"/>
      <c r="D1095" s="212">
        <v>46078.0</v>
      </c>
      <c r="E1095" s="213">
        <v>1516.68</v>
      </c>
      <c r="F1095" s="190"/>
      <c r="G1095" s="210">
        <f t="shared" si="4"/>
        <v>1516.68</v>
      </c>
      <c r="H1095" s="94"/>
      <c r="I1095" s="94"/>
      <c r="J1095" s="94"/>
      <c r="K1095" s="94"/>
    </row>
    <row r="1096" ht="22.5" customHeight="1">
      <c r="A1096" s="55">
        <v>1094.0</v>
      </c>
      <c r="B1096" s="214" t="s">
        <v>858</v>
      </c>
      <c r="C1096" s="190"/>
      <c r="D1096" s="212">
        <v>46078.0</v>
      </c>
      <c r="E1096" s="213">
        <v>2839.45</v>
      </c>
      <c r="F1096" s="190"/>
      <c r="G1096" s="210">
        <f t="shared" si="4"/>
        <v>2839.45</v>
      </c>
      <c r="H1096" s="94"/>
      <c r="I1096" s="94"/>
      <c r="J1096" s="94"/>
      <c r="K1096" s="94"/>
    </row>
    <row r="1097" ht="22.5" customHeight="1">
      <c r="A1097" s="37">
        <v>1095.0</v>
      </c>
      <c r="B1097" s="214" t="s">
        <v>762</v>
      </c>
      <c r="C1097" s="190"/>
      <c r="D1097" s="212">
        <v>46078.0</v>
      </c>
      <c r="E1097" s="213">
        <v>32600.0</v>
      </c>
      <c r="F1097" s="190"/>
      <c r="G1097" s="210">
        <f t="shared" si="4"/>
        <v>32600</v>
      </c>
      <c r="H1097" s="94"/>
      <c r="I1097" s="94"/>
      <c r="J1097" s="94"/>
      <c r="K1097" s="94"/>
    </row>
    <row r="1098" ht="22.5" customHeight="1">
      <c r="A1098" s="55">
        <v>1096.0</v>
      </c>
      <c r="B1098" s="214" t="s">
        <v>908</v>
      </c>
      <c r="C1098" s="190"/>
      <c r="D1098" s="212">
        <v>46078.0</v>
      </c>
      <c r="E1098" s="213">
        <v>15000.0</v>
      </c>
      <c r="F1098" s="190"/>
      <c r="G1098" s="210">
        <f t="shared" si="4"/>
        <v>15000</v>
      </c>
      <c r="H1098" s="94"/>
      <c r="I1098" s="94"/>
      <c r="J1098" s="94"/>
      <c r="K1098" s="94"/>
    </row>
    <row r="1099" ht="22.5" customHeight="1">
      <c r="A1099" s="37">
        <v>1097.0</v>
      </c>
      <c r="B1099" s="214" t="s">
        <v>818</v>
      </c>
      <c r="C1099" s="190"/>
      <c r="D1099" s="212">
        <v>46078.0</v>
      </c>
      <c r="E1099" s="213">
        <v>4271.0</v>
      </c>
      <c r="F1099" s="190"/>
      <c r="G1099" s="210">
        <f t="shared" si="4"/>
        <v>4271</v>
      </c>
      <c r="H1099" s="94"/>
      <c r="I1099" s="94"/>
      <c r="J1099" s="94"/>
      <c r="K1099" s="94"/>
    </row>
    <row r="1100" ht="22.5" customHeight="1">
      <c r="A1100" s="55">
        <v>1098.0</v>
      </c>
      <c r="B1100" s="214" t="s">
        <v>109</v>
      </c>
      <c r="C1100" s="190"/>
      <c r="D1100" s="212">
        <v>46078.0</v>
      </c>
      <c r="E1100" s="213">
        <v>5687.0</v>
      </c>
      <c r="F1100" s="190"/>
      <c r="G1100" s="210">
        <f t="shared" si="4"/>
        <v>5687</v>
      </c>
      <c r="H1100" s="94"/>
      <c r="I1100" s="94"/>
      <c r="J1100" s="94"/>
      <c r="K1100" s="94"/>
    </row>
    <row r="1101" ht="22.5" customHeight="1">
      <c r="A1101" s="37">
        <v>1099.0</v>
      </c>
      <c r="B1101" s="214" t="s">
        <v>109</v>
      </c>
      <c r="C1101" s="190"/>
      <c r="D1101" s="212">
        <v>46078.0</v>
      </c>
      <c r="E1101" s="213">
        <v>7036.0</v>
      </c>
      <c r="F1101" s="190"/>
      <c r="G1101" s="210">
        <f t="shared" si="4"/>
        <v>7036</v>
      </c>
      <c r="H1101" s="94"/>
      <c r="I1101" s="94"/>
      <c r="J1101" s="94"/>
      <c r="K1101" s="94"/>
    </row>
    <row r="1102" ht="22.5" customHeight="1">
      <c r="A1102" s="55">
        <v>1100.0</v>
      </c>
      <c r="B1102" s="214" t="s">
        <v>109</v>
      </c>
      <c r="C1102" s="190"/>
      <c r="D1102" s="212">
        <v>46079.0</v>
      </c>
      <c r="E1102" s="213">
        <v>3835.64</v>
      </c>
      <c r="F1102" s="190"/>
      <c r="G1102" s="210">
        <f t="shared" si="4"/>
        <v>3835.64</v>
      </c>
      <c r="H1102" s="94"/>
      <c r="I1102" s="94"/>
      <c r="J1102" s="94"/>
      <c r="K1102" s="94"/>
    </row>
    <row r="1103" ht="22.5" customHeight="1">
      <c r="A1103" s="37">
        <v>1101.0</v>
      </c>
      <c r="B1103" s="214" t="s">
        <v>708</v>
      </c>
      <c r="C1103" s="190"/>
      <c r="D1103" s="212">
        <v>46080.0</v>
      </c>
      <c r="E1103" s="213">
        <v>8000.0</v>
      </c>
      <c r="F1103" s="190"/>
      <c r="G1103" s="210">
        <f t="shared" si="4"/>
        <v>8000</v>
      </c>
      <c r="H1103" s="94"/>
      <c r="I1103" s="94"/>
      <c r="J1103" s="94"/>
      <c r="K1103" s="94"/>
    </row>
    <row r="1104" ht="22.5" customHeight="1">
      <c r="A1104" s="55">
        <v>1102.0</v>
      </c>
      <c r="B1104" s="214" t="s">
        <v>706</v>
      </c>
      <c r="C1104" s="190"/>
      <c r="D1104" s="212">
        <v>46080.0</v>
      </c>
      <c r="E1104" s="213">
        <v>5587.0</v>
      </c>
      <c r="F1104" s="190"/>
      <c r="G1104" s="210">
        <f t="shared" si="4"/>
        <v>5587</v>
      </c>
      <c r="H1104" s="94"/>
      <c r="I1104" s="94"/>
      <c r="J1104" s="94"/>
      <c r="K1104" s="94"/>
    </row>
    <row r="1105" ht="22.5" customHeight="1">
      <c r="A1105" s="37">
        <v>1103.0</v>
      </c>
      <c r="B1105" s="214" t="s">
        <v>972</v>
      </c>
      <c r="C1105" s="190"/>
      <c r="D1105" s="212">
        <v>46080.0</v>
      </c>
      <c r="E1105" s="213">
        <v>200000.0</v>
      </c>
      <c r="F1105" s="190"/>
      <c r="G1105" s="210">
        <f t="shared" si="4"/>
        <v>200000</v>
      </c>
      <c r="H1105" s="94"/>
      <c r="I1105" s="94"/>
      <c r="J1105" s="94"/>
      <c r="K1105" s="94"/>
    </row>
    <row r="1106" ht="22.5" customHeight="1">
      <c r="A1106" s="55">
        <v>1104.0</v>
      </c>
      <c r="B1106" s="214" t="s">
        <v>762</v>
      </c>
      <c r="C1106" s="190"/>
      <c r="D1106" s="212">
        <v>46080.0</v>
      </c>
      <c r="E1106" s="213">
        <v>2685.0</v>
      </c>
      <c r="F1106" s="190"/>
      <c r="G1106" s="210">
        <f t="shared" si="4"/>
        <v>2685</v>
      </c>
      <c r="H1106" s="94"/>
      <c r="I1106" s="94"/>
      <c r="J1106" s="94"/>
      <c r="K1106" s="94"/>
    </row>
    <row r="1107" ht="22.5" customHeight="1">
      <c r="A1107" s="37">
        <v>1105.0</v>
      </c>
      <c r="B1107" s="214" t="s">
        <v>109</v>
      </c>
      <c r="C1107" s="190"/>
      <c r="D1107" s="212">
        <v>46081.0</v>
      </c>
      <c r="E1107" s="213">
        <v>6054.0</v>
      </c>
      <c r="F1107" s="190"/>
      <c r="G1107" s="210">
        <f t="shared" si="4"/>
        <v>6054</v>
      </c>
      <c r="H1107" s="94"/>
      <c r="I1107" s="94"/>
      <c r="J1107" s="94"/>
      <c r="K1107" s="94"/>
    </row>
    <row r="1108" ht="22.5" customHeight="1">
      <c r="A1108" s="55">
        <v>1106.0</v>
      </c>
      <c r="B1108" s="214" t="s">
        <v>973</v>
      </c>
      <c r="C1108" s="190"/>
      <c r="D1108" s="212">
        <v>46082.0</v>
      </c>
      <c r="E1108" s="213">
        <v>2239.95</v>
      </c>
      <c r="F1108" s="190"/>
      <c r="G1108" s="210">
        <f t="shared" si="4"/>
        <v>2239.95</v>
      </c>
      <c r="H1108" s="94"/>
      <c r="I1108" s="94"/>
      <c r="J1108" s="94"/>
      <c r="K1108" s="94"/>
    </row>
    <row r="1109" ht="22.5" customHeight="1">
      <c r="A1109" s="37">
        <v>1107.0</v>
      </c>
      <c r="B1109" s="214" t="s">
        <v>897</v>
      </c>
      <c r="C1109" s="190"/>
      <c r="D1109" s="212">
        <v>46083.0</v>
      </c>
      <c r="E1109" s="213">
        <v>44250.0</v>
      </c>
      <c r="F1109" s="190"/>
      <c r="G1109" s="210">
        <f t="shared" si="4"/>
        <v>44250</v>
      </c>
      <c r="H1109" s="94"/>
      <c r="I1109" s="94"/>
      <c r="J1109" s="94"/>
      <c r="K1109" s="94"/>
    </row>
    <row r="1110" ht="22.5" customHeight="1">
      <c r="A1110" s="55">
        <v>1108.0</v>
      </c>
      <c r="B1110" s="214" t="s">
        <v>941</v>
      </c>
      <c r="C1110" s="190"/>
      <c r="D1110" s="212">
        <v>46083.0</v>
      </c>
      <c r="E1110" s="213">
        <v>30000.0</v>
      </c>
      <c r="F1110" s="190"/>
      <c r="G1110" s="210">
        <f t="shared" si="4"/>
        <v>30000</v>
      </c>
      <c r="H1110" s="94"/>
      <c r="I1110" s="94"/>
      <c r="J1110" s="94"/>
      <c r="K1110" s="94"/>
    </row>
    <row r="1111" ht="22.5" customHeight="1">
      <c r="A1111" s="37">
        <v>1109.0</v>
      </c>
      <c r="B1111" s="214" t="s">
        <v>861</v>
      </c>
      <c r="C1111" s="190"/>
      <c r="D1111" s="212">
        <v>46083.0</v>
      </c>
      <c r="E1111" s="213">
        <v>5000.0</v>
      </c>
      <c r="F1111" s="190"/>
      <c r="G1111" s="210">
        <f t="shared" si="4"/>
        <v>5000</v>
      </c>
      <c r="H1111" s="94"/>
      <c r="I1111" s="94"/>
      <c r="J1111" s="94"/>
      <c r="K1111" s="94"/>
    </row>
    <row r="1112" ht="22.5" customHeight="1">
      <c r="A1112" s="55">
        <v>1110.0</v>
      </c>
      <c r="B1112" s="214" t="s">
        <v>974</v>
      </c>
      <c r="C1112" s="190"/>
      <c r="D1112" s="212">
        <v>46083.0</v>
      </c>
      <c r="E1112" s="213">
        <v>6000.0</v>
      </c>
      <c r="F1112" s="190"/>
      <c r="G1112" s="210">
        <f t="shared" si="4"/>
        <v>6000</v>
      </c>
      <c r="H1112" s="94"/>
      <c r="I1112" s="94"/>
      <c r="J1112" s="94"/>
      <c r="K1112" s="94"/>
    </row>
    <row r="1113" ht="22.5" customHeight="1">
      <c r="A1113" s="37">
        <v>1111.0</v>
      </c>
      <c r="B1113" s="214" t="s">
        <v>225</v>
      </c>
      <c r="C1113" s="190"/>
      <c r="D1113" s="212">
        <v>46083.0</v>
      </c>
      <c r="E1113" s="213">
        <v>20000.0</v>
      </c>
      <c r="F1113" s="190"/>
      <c r="G1113" s="210">
        <f t="shared" si="4"/>
        <v>20000</v>
      </c>
      <c r="H1113" s="94"/>
      <c r="I1113" s="94"/>
      <c r="J1113" s="94"/>
      <c r="K1113" s="94"/>
    </row>
    <row r="1114" ht="22.5" customHeight="1">
      <c r="A1114" s="55">
        <v>1112.0</v>
      </c>
      <c r="B1114" s="214" t="s">
        <v>973</v>
      </c>
      <c r="C1114" s="190"/>
      <c r="D1114" s="212">
        <v>46084.0</v>
      </c>
      <c r="E1114" s="213">
        <v>1909.92</v>
      </c>
      <c r="F1114" s="190"/>
      <c r="G1114" s="210">
        <f t="shared" si="4"/>
        <v>1909.92</v>
      </c>
      <c r="H1114" s="94"/>
      <c r="I1114" s="94"/>
      <c r="J1114" s="94"/>
      <c r="K1114" s="94"/>
    </row>
    <row r="1115" ht="22.5" customHeight="1">
      <c r="A1115" s="37">
        <v>1113.0</v>
      </c>
      <c r="B1115" s="214" t="s">
        <v>762</v>
      </c>
      <c r="C1115" s="190"/>
      <c r="D1115" s="212">
        <v>46084.0</v>
      </c>
      <c r="E1115" s="213">
        <v>25000.0</v>
      </c>
      <c r="F1115" s="190"/>
      <c r="G1115" s="210">
        <f t="shared" si="4"/>
        <v>25000</v>
      </c>
      <c r="H1115" s="94"/>
      <c r="I1115" s="94"/>
      <c r="J1115" s="94"/>
      <c r="K1115" s="94"/>
    </row>
    <row r="1116" ht="22.5" customHeight="1">
      <c r="A1116" s="55">
        <v>1114.0</v>
      </c>
      <c r="B1116" s="214" t="s">
        <v>762</v>
      </c>
      <c r="C1116" s="190"/>
      <c r="D1116" s="212">
        <v>46084.0</v>
      </c>
      <c r="E1116" s="213">
        <v>3000.0</v>
      </c>
      <c r="F1116" s="190"/>
      <c r="G1116" s="210">
        <f t="shared" si="4"/>
        <v>3000</v>
      </c>
      <c r="H1116" s="94"/>
      <c r="I1116" s="94"/>
      <c r="J1116" s="94"/>
      <c r="K1116" s="94"/>
    </row>
    <row r="1117" ht="22.5" customHeight="1">
      <c r="A1117" s="37">
        <v>1115.0</v>
      </c>
      <c r="B1117" s="214" t="s">
        <v>975</v>
      </c>
      <c r="C1117" s="190"/>
      <c r="D1117" s="212">
        <v>46084.0</v>
      </c>
      <c r="E1117" s="213">
        <v>5000.0</v>
      </c>
      <c r="F1117" s="190"/>
      <c r="G1117" s="210">
        <f t="shared" si="4"/>
        <v>5000</v>
      </c>
      <c r="H1117" s="94"/>
      <c r="I1117" s="94"/>
      <c r="J1117" s="94"/>
      <c r="K1117" s="94"/>
    </row>
    <row r="1118" ht="22.5" customHeight="1">
      <c r="A1118" s="55">
        <v>1116.0</v>
      </c>
      <c r="B1118" s="214" t="s">
        <v>976</v>
      </c>
      <c r="C1118" s="190"/>
      <c r="D1118" s="212">
        <v>46086.0</v>
      </c>
      <c r="E1118" s="213">
        <v>5000.0</v>
      </c>
      <c r="F1118" s="190"/>
      <c r="G1118" s="210">
        <f t="shared" si="4"/>
        <v>5000</v>
      </c>
      <c r="H1118" s="94"/>
      <c r="I1118" s="94"/>
      <c r="J1118" s="94"/>
      <c r="K1118" s="94"/>
    </row>
    <row r="1119" ht="22.5" customHeight="1">
      <c r="A1119" s="37">
        <v>1117.0</v>
      </c>
      <c r="B1119" s="214" t="s">
        <v>784</v>
      </c>
      <c r="C1119" s="190"/>
      <c r="D1119" s="212">
        <v>46086.0</v>
      </c>
      <c r="E1119" s="213">
        <v>6206.0</v>
      </c>
      <c r="F1119" s="190"/>
      <c r="G1119" s="210">
        <f t="shared" si="4"/>
        <v>6206</v>
      </c>
      <c r="H1119" s="94"/>
      <c r="I1119" s="94"/>
      <c r="J1119" s="94"/>
      <c r="K1119" s="94"/>
    </row>
    <row r="1120" ht="22.5" customHeight="1">
      <c r="A1120" s="55">
        <v>1118.0</v>
      </c>
      <c r="B1120" s="214" t="s">
        <v>879</v>
      </c>
      <c r="C1120" s="190"/>
      <c r="D1120" s="212">
        <v>46087.0</v>
      </c>
      <c r="E1120" s="213">
        <v>40000.0</v>
      </c>
      <c r="F1120" s="190"/>
      <c r="G1120" s="210">
        <f t="shared" si="4"/>
        <v>40000</v>
      </c>
      <c r="H1120" s="94"/>
      <c r="I1120" s="94"/>
      <c r="J1120" s="94"/>
      <c r="K1120" s="94"/>
    </row>
    <row r="1121" ht="22.5" customHeight="1">
      <c r="A1121" s="37">
        <v>1119.0</v>
      </c>
      <c r="B1121" s="214" t="s">
        <v>760</v>
      </c>
      <c r="C1121" s="190"/>
      <c r="D1121" s="212">
        <v>46087.0</v>
      </c>
      <c r="E1121" s="213">
        <v>13170.0</v>
      </c>
      <c r="F1121" s="190"/>
      <c r="G1121" s="210">
        <f t="shared" si="4"/>
        <v>13170</v>
      </c>
      <c r="H1121" s="94"/>
      <c r="I1121" s="94"/>
      <c r="J1121" s="94"/>
      <c r="K1121" s="94"/>
    </row>
    <row r="1122" ht="22.5" customHeight="1">
      <c r="A1122" s="55">
        <v>1120.0</v>
      </c>
      <c r="B1122" s="214" t="s">
        <v>977</v>
      </c>
      <c r="C1122" s="190"/>
      <c r="D1122" s="212">
        <v>46087.0</v>
      </c>
      <c r="E1122" s="213">
        <v>56000.0</v>
      </c>
      <c r="F1122" s="190"/>
      <c r="G1122" s="210">
        <f t="shared" si="4"/>
        <v>56000</v>
      </c>
      <c r="H1122" s="94"/>
      <c r="I1122" s="94"/>
      <c r="J1122" s="94"/>
      <c r="K1122" s="94"/>
    </row>
    <row r="1123" ht="22.5" customHeight="1">
      <c r="A1123" s="37">
        <v>1121.0</v>
      </c>
      <c r="B1123" s="214" t="s">
        <v>978</v>
      </c>
      <c r="C1123" s="190"/>
      <c r="D1123" s="212">
        <v>46087.0</v>
      </c>
      <c r="E1123" s="213">
        <v>42278.0</v>
      </c>
      <c r="F1123" s="190"/>
      <c r="G1123" s="210">
        <f t="shared" si="4"/>
        <v>42278</v>
      </c>
      <c r="H1123" s="94"/>
      <c r="I1123" s="94"/>
      <c r="J1123" s="94"/>
      <c r="K1123" s="94"/>
    </row>
    <row r="1124" ht="22.5" customHeight="1">
      <c r="A1124" s="55">
        <v>1122.0</v>
      </c>
      <c r="B1124" s="214" t="s">
        <v>979</v>
      </c>
      <c r="C1124" s="190"/>
      <c r="D1124" s="212">
        <v>46087.0</v>
      </c>
      <c r="E1124" s="213">
        <v>16250.0</v>
      </c>
      <c r="F1124" s="190"/>
      <c r="G1124" s="210">
        <f t="shared" si="4"/>
        <v>16250</v>
      </c>
      <c r="H1124" s="94"/>
      <c r="I1124" s="94"/>
      <c r="J1124" s="94"/>
      <c r="K1124" s="94"/>
    </row>
    <row r="1125" ht="22.5" customHeight="1">
      <c r="A1125" s="37">
        <v>1123.0</v>
      </c>
      <c r="B1125" s="214" t="s">
        <v>686</v>
      </c>
      <c r="C1125" s="190"/>
      <c r="D1125" s="212">
        <v>46087.0</v>
      </c>
      <c r="E1125" s="213">
        <v>107935.0</v>
      </c>
      <c r="F1125" s="190"/>
      <c r="G1125" s="210">
        <f t="shared" si="4"/>
        <v>107935</v>
      </c>
      <c r="H1125" s="94"/>
      <c r="I1125" s="94"/>
      <c r="J1125" s="94"/>
      <c r="K1125" s="94"/>
    </row>
    <row r="1126" ht="22.5" customHeight="1">
      <c r="A1126" s="55">
        <v>1124.0</v>
      </c>
      <c r="B1126" s="214" t="s">
        <v>980</v>
      </c>
      <c r="C1126" s="190"/>
      <c r="D1126" s="212">
        <v>46087.0</v>
      </c>
      <c r="E1126" s="213">
        <v>15000.0</v>
      </c>
      <c r="F1126" s="190"/>
      <c r="G1126" s="210">
        <f t="shared" si="4"/>
        <v>15000</v>
      </c>
      <c r="H1126" s="94"/>
      <c r="I1126" s="94"/>
      <c r="J1126" s="94"/>
      <c r="K1126" s="94"/>
    </row>
    <row r="1127" ht="22.5" customHeight="1">
      <c r="A1127" s="37">
        <v>1125.0</v>
      </c>
      <c r="B1127" s="214" t="s">
        <v>109</v>
      </c>
      <c r="C1127" s="190"/>
      <c r="D1127" s="212">
        <v>46088.0</v>
      </c>
      <c r="E1127" s="213">
        <v>9238.0</v>
      </c>
      <c r="F1127" s="190"/>
      <c r="G1127" s="210">
        <f t="shared" si="4"/>
        <v>9238</v>
      </c>
      <c r="H1127" s="94"/>
      <c r="I1127" s="94"/>
      <c r="J1127" s="94"/>
      <c r="K1127" s="94"/>
    </row>
    <row r="1128" ht="22.5" customHeight="1">
      <c r="A1128" s="55">
        <v>1126.0</v>
      </c>
      <c r="B1128" s="214" t="s">
        <v>225</v>
      </c>
      <c r="C1128" s="190"/>
      <c r="D1128" s="212">
        <v>46088.0</v>
      </c>
      <c r="E1128" s="213">
        <v>53113.0</v>
      </c>
      <c r="F1128" s="190"/>
      <c r="G1128" s="210">
        <f t="shared" si="4"/>
        <v>53113</v>
      </c>
      <c r="H1128" s="94"/>
      <c r="I1128" s="94"/>
      <c r="J1128" s="94"/>
      <c r="K1128" s="94"/>
    </row>
    <row r="1129" ht="22.5" customHeight="1">
      <c r="A1129" s="37">
        <v>1127.0</v>
      </c>
      <c r="B1129" s="214" t="s">
        <v>981</v>
      </c>
      <c r="C1129" s="190"/>
      <c r="D1129" s="212">
        <v>46088.0</v>
      </c>
      <c r="E1129" s="213">
        <v>5010.0</v>
      </c>
      <c r="F1129" s="190"/>
      <c r="G1129" s="210">
        <f t="shared" si="4"/>
        <v>5010</v>
      </c>
      <c r="H1129" s="94"/>
      <c r="I1129" s="94"/>
      <c r="J1129" s="94"/>
      <c r="K1129" s="94"/>
    </row>
    <row r="1130" ht="22.5" customHeight="1">
      <c r="A1130" s="55">
        <v>1128.0</v>
      </c>
      <c r="B1130" s="214" t="s">
        <v>855</v>
      </c>
      <c r="C1130" s="190"/>
      <c r="D1130" s="212">
        <v>46088.0</v>
      </c>
      <c r="E1130" s="213">
        <v>1028.08</v>
      </c>
      <c r="F1130" s="190"/>
      <c r="G1130" s="210">
        <f t="shared" si="4"/>
        <v>1028.08</v>
      </c>
      <c r="H1130" s="94"/>
      <c r="I1130" s="94"/>
      <c r="J1130" s="94"/>
      <c r="K1130" s="94"/>
    </row>
    <row r="1131" ht="22.5" customHeight="1">
      <c r="A1131" s="37">
        <v>1129.0</v>
      </c>
      <c r="B1131" s="214" t="s">
        <v>690</v>
      </c>
      <c r="C1131" s="190"/>
      <c r="D1131" s="212">
        <v>46088.0</v>
      </c>
      <c r="E1131" s="213">
        <v>32400.0</v>
      </c>
      <c r="F1131" s="190"/>
      <c r="G1131" s="210">
        <f t="shared" si="4"/>
        <v>32400</v>
      </c>
      <c r="H1131" s="94"/>
      <c r="I1131" s="94"/>
      <c r="J1131" s="94"/>
      <c r="K1131" s="94"/>
    </row>
    <row r="1132" ht="22.5" customHeight="1">
      <c r="A1132" s="55">
        <v>1130.0</v>
      </c>
      <c r="B1132" s="214" t="s">
        <v>142</v>
      </c>
      <c r="C1132" s="190"/>
      <c r="D1132" s="212">
        <v>46088.0</v>
      </c>
      <c r="E1132" s="213">
        <v>50000.0</v>
      </c>
      <c r="F1132" s="190"/>
      <c r="G1132" s="210">
        <f t="shared" si="4"/>
        <v>50000</v>
      </c>
      <c r="H1132" s="94"/>
      <c r="I1132" s="94"/>
      <c r="J1132" s="94"/>
      <c r="K1132" s="94"/>
    </row>
    <row r="1133" ht="22.5" customHeight="1">
      <c r="A1133" s="37">
        <v>1131.0</v>
      </c>
      <c r="B1133" s="214" t="s">
        <v>879</v>
      </c>
      <c r="C1133" s="190"/>
      <c r="D1133" s="212">
        <v>46088.0</v>
      </c>
      <c r="E1133" s="213">
        <v>50000.0</v>
      </c>
      <c r="F1133" s="190"/>
      <c r="G1133" s="210">
        <f t="shared" si="4"/>
        <v>50000</v>
      </c>
      <c r="H1133" s="94"/>
      <c r="I1133" s="94"/>
      <c r="J1133" s="94"/>
      <c r="K1133" s="94"/>
    </row>
    <row r="1134" ht="22.5" customHeight="1">
      <c r="A1134" s="55">
        <v>1132.0</v>
      </c>
      <c r="B1134" s="214" t="s">
        <v>813</v>
      </c>
      <c r="C1134" s="190"/>
      <c r="D1134" s="212">
        <v>46088.0</v>
      </c>
      <c r="E1134" s="213">
        <v>30000.0</v>
      </c>
      <c r="F1134" s="190"/>
      <c r="G1134" s="210">
        <f t="shared" si="4"/>
        <v>30000</v>
      </c>
      <c r="H1134" s="94"/>
      <c r="I1134" s="94"/>
      <c r="J1134" s="94"/>
      <c r="K1134" s="94"/>
    </row>
    <row r="1135" ht="22.5" customHeight="1">
      <c r="A1135" s="37">
        <v>1133.0</v>
      </c>
      <c r="B1135" s="214" t="s">
        <v>982</v>
      </c>
      <c r="C1135" s="190"/>
      <c r="D1135" s="212">
        <v>46089.0</v>
      </c>
      <c r="E1135" s="213">
        <v>30000.0</v>
      </c>
      <c r="F1135" s="190"/>
      <c r="G1135" s="210">
        <f t="shared" si="4"/>
        <v>30000</v>
      </c>
      <c r="H1135" s="94"/>
      <c r="I1135" s="94"/>
      <c r="J1135" s="94"/>
      <c r="K1135" s="94"/>
    </row>
    <row r="1136" ht="22.5" customHeight="1">
      <c r="A1136" s="55">
        <v>1134.0</v>
      </c>
      <c r="B1136" s="214" t="s">
        <v>897</v>
      </c>
      <c r="C1136" s="190"/>
      <c r="D1136" s="212">
        <v>46089.0</v>
      </c>
      <c r="E1136" s="213">
        <v>42750.0</v>
      </c>
      <c r="F1136" s="190"/>
      <c r="G1136" s="210">
        <f t="shared" si="4"/>
        <v>42750</v>
      </c>
      <c r="H1136" s="94"/>
      <c r="I1136" s="94"/>
      <c r="J1136" s="94"/>
      <c r="K1136" s="94"/>
    </row>
    <row r="1137" ht="22.5" customHeight="1">
      <c r="A1137" s="37">
        <v>1135.0</v>
      </c>
      <c r="B1137" s="214" t="s">
        <v>879</v>
      </c>
      <c r="C1137" s="190"/>
      <c r="D1137" s="212">
        <v>46089.0</v>
      </c>
      <c r="E1137" s="213">
        <v>40000.0</v>
      </c>
      <c r="F1137" s="190"/>
      <c r="G1137" s="210">
        <f t="shared" si="4"/>
        <v>40000</v>
      </c>
      <c r="H1137" s="94"/>
      <c r="I1137" s="94"/>
      <c r="J1137" s="94"/>
      <c r="K1137" s="94"/>
    </row>
    <row r="1138" ht="22.5" customHeight="1">
      <c r="A1138" s="55">
        <v>1136.0</v>
      </c>
      <c r="B1138" s="214" t="s">
        <v>858</v>
      </c>
      <c r="C1138" s="190"/>
      <c r="D1138" s="212">
        <v>46089.0</v>
      </c>
      <c r="E1138" s="213">
        <v>2873.43</v>
      </c>
      <c r="F1138" s="190"/>
      <c r="G1138" s="210">
        <f t="shared" si="4"/>
        <v>2873.43</v>
      </c>
      <c r="H1138" s="94"/>
      <c r="I1138" s="94"/>
      <c r="J1138" s="94"/>
      <c r="K1138" s="94"/>
    </row>
    <row r="1139" ht="22.5" customHeight="1">
      <c r="A1139" s="37">
        <v>1137.0</v>
      </c>
      <c r="B1139" s="214" t="s">
        <v>725</v>
      </c>
      <c r="C1139" s="190"/>
      <c r="D1139" s="212">
        <v>46090.0</v>
      </c>
      <c r="E1139" s="213">
        <v>30349.0</v>
      </c>
      <c r="F1139" s="190"/>
      <c r="G1139" s="210">
        <f t="shared" si="4"/>
        <v>30349</v>
      </c>
      <c r="H1139" s="94"/>
      <c r="I1139" s="94"/>
      <c r="J1139" s="94"/>
      <c r="K1139" s="94"/>
    </row>
    <row r="1140" ht="22.5" customHeight="1">
      <c r="A1140" s="55">
        <v>1138.0</v>
      </c>
      <c r="B1140" s="214" t="s">
        <v>983</v>
      </c>
      <c r="C1140" s="190"/>
      <c r="D1140" s="212">
        <v>46090.0</v>
      </c>
      <c r="E1140" s="213">
        <v>17500.0</v>
      </c>
      <c r="F1140" s="190"/>
      <c r="G1140" s="210">
        <f t="shared" si="4"/>
        <v>17500</v>
      </c>
      <c r="H1140" s="94"/>
      <c r="I1140" s="94"/>
      <c r="J1140" s="94"/>
      <c r="K1140" s="94"/>
    </row>
    <row r="1141" ht="22.5" customHeight="1">
      <c r="A1141" s="37">
        <v>1139.0</v>
      </c>
      <c r="B1141" s="214" t="s">
        <v>362</v>
      </c>
      <c r="C1141" s="190"/>
      <c r="D1141" s="212">
        <v>46090.0</v>
      </c>
      <c r="E1141" s="213">
        <v>42900.0</v>
      </c>
      <c r="F1141" s="190"/>
      <c r="G1141" s="210">
        <f t="shared" si="4"/>
        <v>42900</v>
      </c>
      <c r="H1141" s="94"/>
      <c r="I1141" s="94"/>
      <c r="J1141" s="94"/>
      <c r="K1141" s="94"/>
    </row>
    <row r="1142" ht="22.5" customHeight="1">
      <c r="A1142" s="55">
        <v>1140.0</v>
      </c>
      <c r="B1142" s="214" t="s">
        <v>921</v>
      </c>
      <c r="C1142" s="190"/>
      <c r="D1142" s="212">
        <v>46091.0</v>
      </c>
      <c r="E1142" s="213">
        <v>4705.86</v>
      </c>
      <c r="F1142" s="190"/>
      <c r="G1142" s="210">
        <f t="shared" si="4"/>
        <v>4705.86</v>
      </c>
      <c r="H1142" s="94"/>
      <c r="I1142" s="94"/>
      <c r="J1142" s="94"/>
      <c r="K1142" s="94"/>
    </row>
    <row r="1143" ht="22.5" customHeight="1">
      <c r="A1143" s="37">
        <v>1141.0</v>
      </c>
      <c r="B1143" s="214" t="s">
        <v>915</v>
      </c>
      <c r="C1143" s="190"/>
      <c r="D1143" s="212">
        <v>46091.0</v>
      </c>
      <c r="E1143" s="213">
        <v>30400.0</v>
      </c>
      <c r="F1143" s="190"/>
      <c r="G1143" s="210">
        <f t="shared" si="4"/>
        <v>30400</v>
      </c>
      <c r="H1143" s="94"/>
      <c r="I1143" s="94"/>
      <c r="J1143" s="94"/>
      <c r="K1143" s="94"/>
    </row>
    <row r="1144" ht="22.5" customHeight="1">
      <c r="A1144" s="55">
        <v>1142.0</v>
      </c>
      <c r="B1144" s="214" t="s">
        <v>984</v>
      </c>
      <c r="C1144" s="190"/>
      <c r="D1144" s="212">
        <v>46091.0</v>
      </c>
      <c r="E1144" s="213">
        <v>17500.0</v>
      </c>
      <c r="F1144" s="190"/>
      <c r="G1144" s="210">
        <f t="shared" si="4"/>
        <v>17500</v>
      </c>
      <c r="H1144" s="94"/>
      <c r="I1144" s="94"/>
      <c r="J1144" s="94"/>
      <c r="K1144" s="94"/>
    </row>
    <row r="1145" ht="22.5" customHeight="1">
      <c r="A1145" s="37">
        <v>1143.0</v>
      </c>
      <c r="B1145" s="214" t="s">
        <v>784</v>
      </c>
      <c r="C1145" s="190"/>
      <c r="D1145" s="212">
        <v>46093.0</v>
      </c>
      <c r="E1145" s="213">
        <v>1920.68</v>
      </c>
      <c r="F1145" s="190"/>
      <c r="G1145" s="210">
        <f t="shared" si="4"/>
        <v>1920.68</v>
      </c>
      <c r="H1145" s="94"/>
      <c r="I1145" s="94"/>
      <c r="J1145" s="94"/>
      <c r="K1145" s="94"/>
    </row>
    <row r="1146" ht="22.5" customHeight="1">
      <c r="A1146" s="55">
        <v>1144.0</v>
      </c>
      <c r="B1146" s="214" t="s">
        <v>118</v>
      </c>
      <c r="C1146" s="190"/>
      <c r="D1146" s="212">
        <v>46093.0</v>
      </c>
      <c r="E1146" s="213">
        <v>1958.84</v>
      </c>
      <c r="F1146" s="190"/>
      <c r="G1146" s="210">
        <f t="shared" si="4"/>
        <v>1958.84</v>
      </c>
      <c r="H1146" s="94"/>
      <c r="I1146" s="94"/>
      <c r="J1146" s="94"/>
      <c r="K1146" s="94"/>
    </row>
    <row r="1147" ht="22.5" customHeight="1">
      <c r="A1147" s="37">
        <v>1145.0</v>
      </c>
      <c r="B1147" s="214" t="s">
        <v>985</v>
      </c>
      <c r="C1147" s="190"/>
      <c r="D1147" s="212">
        <v>46094.0</v>
      </c>
      <c r="E1147" s="213">
        <v>300000.0</v>
      </c>
      <c r="F1147" s="190"/>
      <c r="G1147" s="210">
        <f t="shared" si="4"/>
        <v>300000</v>
      </c>
      <c r="H1147" s="94"/>
      <c r="I1147" s="94"/>
      <c r="J1147" s="94"/>
      <c r="K1147" s="94"/>
    </row>
    <row r="1148" ht="22.5" customHeight="1">
      <c r="A1148" s="55">
        <v>1146.0</v>
      </c>
      <c r="B1148" s="214" t="s">
        <v>780</v>
      </c>
      <c r="C1148" s="190"/>
      <c r="D1148" s="212">
        <v>46094.0</v>
      </c>
      <c r="E1148" s="213">
        <v>14353.89</v>
      </c>
      <c r="F1148" s="190"/>
      <c r="G1148" s="210">
        <f t="shared" si="4"/>
        <v>14353.89</v>
      </c>
      <c r="H1148" s="94"/>
      <c r="I1148" s="94"/>
      <c r="J1148" s="94"/>
      <c r="K1148" s="94"/>
    </row>
    <row r="1149" ht="22.5" customHeight="1">
      <c r="A1149" s="37">
        <v>1147.0</v>
      </c>
      <c r="B1149" s="214" t="s">
        <v>109</v>
      </c>
      <c r="C1149" s="190"/>
      <c r="D1149" s="212">
        <v>46094.0</v>
      </c>
      <c r="E1149" s="213">
        <v>7515.0</v>
      </c>
      <c r="F1149" s="190"/>
      <c r="G1149" s="210">
        <f t="shared" si="4"/>
        <v>7515</v>
      </c>
      <c r="H1149" s="94"/>
      <c r="I1149" s="94"/>
      <c r="J1149" s="94"/>
      <c r="K1149" s="94"/>
    </row>
    <row r="1150" ht="22.5" customHeight="1">
      <c r="A1150" s="55">
        <v>1148.0</v>
      </c>
      <c r="B1150" s="214" t="s">
        <v>109</v>
      </c>
      <c r="C1150" s="190"/>
      <c r="D1150" s="212">
        <v>46094.0</v>
      </c>
      <c r="E1150" s="213">
        <v>7960.0</v>
      </c>
      <c r="F1150" s="190"/>
      <c r="G1150" s="210">
        <f t="shared" si="4"/>
        <v>7960</v>
      </c>
      <c r="H1150" s="94"/>
      <c r="I1150" s="94"/>
      <c r="J1150" s="94"/>
      <c r="K1150" s="94"/>
    </row>
    <row r="1151" ht="22.5" customHeight="1">
      <c r="A1151" s="37">
        <v>1149.0</v>
      </c>
      <c r="B1151" s="214" t="s">
        <v>88</v>
      </c>
      <c r="C1151" s="190"/>
      <c r="D1151" s="212">
        <v>46094.0</v>
      </c>
      <c r="E1151" s="213">
        <v>40000.0</v>
      </c>
      <c r="F1151" s="190"/>
      <c r="G1151" s="210">
        <f t="shared" si="4"/>
        <v>40000</v>
      </c>
      <c r="H1151" s="94"/>
      <c r="I1151" s="94"/>
      <c r="J1151" s="94"/>
      <c r="K1151" s="94"/>
    </row>
    <row r="1152" ht="22.5" customHeight="1">
      <c r="A1152" s="55">
        <v>1150.0</v>
      </c>
      <c r="B1152" s="214" t="s">
        <v>986</v>
      </c>
      <c r="C1152" s="190"/>
      <c r="D1152" s="212">
        <v>46094.0</v>
      </c>
      <c r="E1152" s="213">
        <v>25000.0</v>
      </c>
      <c r="F1152" s="190"/>
      <c r="G1152" s="210">
        <f t="shared" si="4"/>
        <v>25000</v>
      </c>
      <c r="H1152" s="94"/>
      <c r="I1152" s="94"/>
      <c r="J1152" s="94"/>
      <c r="K1152" s="94"/>
    </row>
    <row r="1153" ht="22.5" customHeight="1">
      <c r="A1153" s="37">
        <v>1151.0</v>
      </c>
      <c r="B1153" s="214" t="s">
        <v>872</v>
      </c>
      <c r="C1153" s="190"/>
      <c r="D1153" s="212">
        <v>46094.0</v>
      </c>
      <c r="E1153" s="213">
        <v>50000.0</v>
      </c>
      <c r="F1153" s="190"/>
      <c r="G1153" s="210">
        <f t="shared" si="4"/>
        <v>50000</v>
      </c>
      <c r="H1153" s="94"/>
      <c r="I1153" s="94"/>
      <c r="J1153" s="94"/>
      <c r="K1153" s="94"/>
    </row>
    <row r="1154" ht="22.5" customHeight="1">
      <c r="A1154" s="55">
        <v>1152.0</v>
      </c>
      <c r="B1154" s="214" t="s">
        <v>109</v>
      </c>
      <c r="C1154" s="190"/>
      <c r="D1154" s="212">
        <v>46095.0</v>
      </c>
      <c r="E1154" s="213">
        <v>17557.8</v>
      </c>
      <c r="F1154" s="190"/>
      <c r="G1154" s="210">
        <f t="shared" si="4"/>
        <v>17557.8</v>
      </c>
      <c r="H1154" s="94"/>
      <c r="I1154" s="94"/>
      <c r="J1154" s="94"/>
      <c r="K1154" s="94"/>
    </row>
    <row r="1155" ht="22.5" customHeight="1">
      <c r="A1155" s="37">
        <v>1153.0</v>
      </c>
      <c r="B1155" s="214" t="s">
        <v>109</v>
      </c>
      <c r="C1155" s="190"/>
      <c r="D1155" s="212">
        <v>46095.0</v>
      </c>
      <c r="E1155" s="213">
        <v>13495.0</v>
      </c>
      <c r="F1155" s="190"/>
      <c r="G1155" s="210">
        <f t="shared" si="4"/>
        <v>13495</v>
      </c>
      <c r="H1155" s="94"/>
      <c r="I1155" s="94"/>
      <c r="J1155" s="94"/>
      <c r="K1155" s="94"/>
    </row>
    <row r="1156" ht="22.5" customHeight="1">
      <c r="A1156" s="55">
        <v>1154.0</v>
      </c>
      <c r="B1156" s="214" t="s">
        <v>889</v>
      </c>
      <c r="C1156" s="190"/>
      <c r="D1156" s="212">
        <v>46096.0</v>
      </c>
      <c r="E1156" s="213">
        <v>25000.0</v>
      </c>
      <c r="F1156" s="190"/>
      <c r="G1156" s="210">
        <f t="shared" si="4"/>
        <v>25000</v>
      </c>
      <c r="H1156" s="94"/>
      <c r="I1156" s="94"/>
      <c r="J1156" s="94"/>
      <c r="K1156" s="94"/>
    </row>
    <row r="1157" ht="22.5" customHeight="1">
      <c r="A1157" s="37">
        <v>1155.0</v>
      </c>
      <c r="B1157" s="214" t="s">
        <v>857</v>
      </c>
      <c r="C1157" s="190"/>
      <c r="D1157" s="212">
        <v>46096.0</v>
      </c>
      <c r="E1157" s="213">
        <v>1050.0</v>
      </c>
      <c r="F1157" s="190"/>
      <c r="G1157" s="210">
        <f t="shared" si="4"/>
        <v>1050</v>
      </c>
      <c r="H1157" s="94"/>
      <c r="I1157" s="94"/>
      <c r="J1157" s="94"/>
      <c r="K1157" s="94"/>
    </row>
    <row r="1158" ht="22.5" customHeight="1">
      <c r="A1158" s="55">
        <v>1156.0</v>
      </c>
      <c r="B1158" s="214" t="s">
        <v>987</v>
      </c>
      <c r="C1158" s="190"/>
      <c r="D1158" s="212">
        <v>46096.0</v>
      </c>
      <c r="E1158" s="213">
        <v>10000.0</v>
      </c>
      <c r="F1158" s="190"/>
      <c r="G1158" s="210">
        <f t="shared" si="4"/>
        <v>10000</v>
      </c>
      <c r="H1158" s="94"/>
      <c r="I1158" s="94"/>
      <c r="J1158" s="94"/>
      <c r="K1158" s="94"/>
    </row>
    <row r="1159" ht="22.5" customHeight="1">
      <c r="A1159" s="37">
        <v>1157.0</v>
      </c>
      <c r="B1159" s="214" t="s">
        <v>804</v>
      </c>
      <c r="C1159" s="190"/>
      <c r="D1159" s="212">
        <v>46096.0</v>
      </c>
      <c r="E1159" s="213">
        <v>3449.0</v>
      </c>
      <c r="F1159" s="190"/>
      <c r="G1159" s="210">
        <f t="shared" si="4"/>
        <v>3449</v>
      </c>
      <c r="H1159" s="94"/>
      <c r="I1159" s="94"/>
      <c r="J1159" s="94"/>
      <c r="K1159" s="94"/>
    </row>
    <row r="1160" ht="22.5" customHeight="1">
      <c r="A1160" s="55">
        <v>1158.0</v>
      </c>
      <c r="B1160" s="214" t="s">
        <v>947</v>
      </c>
      <c r="C1160" s="190"/>
      <c r="D1160" s="212">
        <v>46096.0</v>
      </c>
      <c r="E1160" s="213">
        <v>309.0</v>
      </c>
      <c r="F1160" s="190"/>
      <c r="G1160" s="210">
        <f t="shared" si="4"/>
        <v>309</v>
      </c>
      <c r="H1160" s="94"/>
      <c r="I1160" s="94"/>
      <c r="J1160" s="94"/>
      <c r="K1160" s="94"/>
    </row>
    <row r="1161" ht="22.5" customHeight="1">
      <c r="A1161" s="37">
        <v>1159.0</v>
      </c>
      <c r="B1161" s="214" t="s">
        <v>988</v>
      </c>
      <c r="C1161" s="190"/>
      <c r="D1161" s="212">
        <v>46096.0</v>
      </c>
      <c r="E1161" s="213">
        <v>5000.0</v>
      </c>
      <c r="F1161" s="190"/>
      <c r="G1161" s="210">
        <f t="shared" si="4"/>
        <v>5000</v>
      </c>
      <c r="H1161" s="94"/>
      <c r="I1161" s="94"/>
      <c r="J1161" s="94"/>
      <c r="K1161" s="94"/>
    </row>
    <row r="1162" ht="22.5" customHeight="1">
      <c r="A1162" s="55">
        <v>1160.0</v>
      </c>
      <c r="B1162" s="214" t="s">
        <v>989</v>
      </c>
      <c r="C1162" s="190"/>
      <c r="D1162" s="212">
        <v>46096.0</v>
      </c>
      <c r="E1162" s="213">
        <v>6000.0</v>
      </c>
      <c r="F1162" s="190"/>
      <c r="G1162" s="210">
        <f t="shared" si="4"/>
        <v>6000</v>
      </c>
      <c r="H1162" s="94"/>
      <c r="I1162" s="94"/>
      <c r="J1162" s="94"/>
      <c r="K1162" s="94"/>
    </row>
    <row r="1163" ht="22.5" customHeight="1">
      <c r="A1163" s="37">
        <v>1161.0</v>
      </c>
      <c r="B1163" s="214" t="s">
        <v>990</v>
      </c>
      <c r="C1163" s="190"/>
      <c r="D1163" s="212">
        <v>46096.0</v>
      </c>
      <c r="E1163" s="213">
        <v>450.0</v>
      </c>
      <c r="F1163" s="190"/>
      <c r="G1163" s="210">
        <f t="shared" si="4"/>
        <v>450</v>
      </c>
      <c r="H1163" s="94"/>
      <c r="I1163" s="94"/>
      <c r="J1163" s="94"/>
      <c r="K1163" s="94"/>
    </row>
    <row r="1164" ht="22.5" customHeight="1">
      <c r="A1164" s="55">
        <v>1162.0</v>
      </c>
      <c r="B1164" s="214" t="s">
        <v>809</v>
      </c>
      <c r="C1164" s="190"/>
      <c r="D1164" s="212">
        <v>46096.0</v>
      </c>
      <c r="E1164" s="213">
        <v>570.0</v>
      </c>
      <c r="F1164" s="190"/>
      <c r="G1164" s="210">
        <f t="shared" si="4"/>
        <v>570</v>
      </c>
      <c r="H1164" s="94"/>
      <c r="I1164" s="94"/>
      <c r="J1164" s="94"/>
      <c r="K1164" s="94"/>
    </row>
    <row r="1165" ht="22.5" customHeight="1">
      <c r="A1165" s="37">
        <v>1163.0</v>
      </c>
      <c r="B1165" s="214" t="s">
        <v>943</v>
      </c>
      <c r="C1165" s="190"/>
      <c r="D1165" s="212">
        <v>46096.0</v>
      </c>
      <c r="E1165" s="213">
        <v>39030.0</v>
      </c>
      <c r="F1165" s="190"/>
      <c r="G1165" s="210">
        <f t="shared" si="4"/>
        <v>39030</v>
      </c>
      <c r="H1165" s="94"/>
      <c r="I1165" s="94"/>
      <c r="J1165" s="94"/>
      <c r="K1165" s="94"/>
    </row>
    <row r="1166" ht="22.5" customHeight="1">
      <c r="A1166" s="55">
        <v>1164.0</v>
      </c>
      <c r="B1166" s="214" t="s">
        <v>912</v>
      </c>
      <c r="C1166" s="190"/>
      <c r="D1166" s="212">
        <v>46096.0</v>
      </c>
      <c r="E1166" s="213">
        <v>200.0</v>
      </c>
      <c r="F1166" s="190"/>
      <c r="G1166" s="210">
        <f t="shared" si="4"/>
        <v>200</v>
      </c>
      <c r="H1166" s="94"/>
      <c r="I1166" s="94"/>
      <c r="J1166" s="94"/>
      <c r="K1166" s="94"/>
    </row>
    <row r="1167" ht="22.5" customHeight="1">
      <c r="A1167" s="37">
        <v>1165.0</v>
      </c>
      <c r="B1167" s="214" t="s">
        <v>762</v>
      </c>
      <c r="C1167" s="190"/>
      <c r="D1167" s="212">
        <v>46096.0</v>
      </c>
      <c r="E1167" s="213">
        <v>8000.0</v>
      </c>
      <c r="F1167" s="190"/>
      <c r="G1167" s="210">
        <f t="shared" si="4"/>
        <v>8000</v>
      </c>
      <c r="H1167" s="94"/>
      <c r="I1167" s="94"/>
      <c r="J1167" s="94"/>
      <c r="K1167" s="94"/>
    </row>
    <row r="1168" ht="22.5" customHeight="1">
      <c r="A1168" s="55">
        <v>1166.0</v>
      </c>
      <c r="B1168" s="214" t="s">
        <v>706</v>
      </c>
      <c r="C1168" s="190"/>
      <c r="D1168" s="212">
        <v>46096.0</v>
      </c>
      <c r="E1168" s="213">
        <v>7316.0</v>
      </c>
      <c r="F1168" s="190"/>
      <c r="G1168" s="210">
        <f t="shared" si="4"/>
        <v>7316</v>
      </c>
      <c r="H1168" s="94"/>
      <c r="I1168" s="94"/>
      <c r="J1168" s="94"/>
      <c r="K1168" s="94"/>
    </row>
    <row r="1169" ht="22.5" customHeight="1">
      <c r="A1169" s="37">
        <v>1167.0</v>
      </c>
      <c r="B1169" s="214" t="s">
        <v>991</v>
      </c>
      <c r="C1169" s="190"/>
      <c r="D1169" s="212">
        <v>46096.0</v>
      </c>
      <c r="E1169" s="213">
        <v>7354.0</v>
      </c>
      <c r="F1169" s="190"/>
      <c r="G1169" s="210">
        <f t="shared" si="4"/>
        <v>7354</v>
      </c>
      <c r="H1169" s="94"/>
      <c r="I1169" s="94"/>
      <c r="J1169" s="94"/>
      <c r="K1169" s="94"/>
    </row>
    <row r="1170" ht="22.5" customHeight="1">
      <c r="A1170" s="55">
        <v>1168.0</v>
      </c>
      <c r="B1170" s="214" t="s">
        <v>346</v>
      </c>
      <c r="C1170" s="190"/>
      <c r="D1170" s="212">
        <v>46096.0</v>
      </c>
      <c r="E1170" s="213">
        <v>6770.0</v>
      </c>
      <c r="F1170" s="190"/>
      <c r="G1170" s="210">
        <f t="shared" si="4"/>
        <v>6770</v>
      </c>
      <c r="H1170" s="94"/>
      <c r="I1170" s="94"/>
      <c r="J1170" s="94"/>
      <c r="K1170" s="94"/>
    </row>
    <row r="1171" ht="22.5" customHeight="1">
      <c r="A1171" s="37">
        <v>1169.0</v>
      </c>
      <c r="B1171" s="214" t="s">
        <v>992</v>
      </c>
      <c r="C1171" s="190"/>
      <c r="D1171" s="212">
        <v>46096.0</v>
      </c>
      <c r="E1171" s="213">
        <v>1181.0</v>
      </c>
      <c r="F1171" s="190"/>
      <c r="G1171" s="210">
        <f t="shared" si="4"/>
        <v>1181</v>
      </c>
      <c r="H1171" s="94"/>
      <c r="I1171" s="94"/>
      <c r="J1171" s="94"/>
      <c r="K1171" s="94"/>
    </row>
    <row r="1172" ht="22.5" customHeight="1">
      <c r="A1172" s="55">
        <v>1170.0</v>
      </c>
      <c r="B1172" s="214" t="s">
        <v>53</v>
      </c>
      <c r="C1172" s="190"/>
      <c r="D1172" s="212">
        <v>46097.0</v>
      </c>
      <c r="E1172" s="213">
        <v>600805.0</v>
      </c>
      <c r="F1172" s="190"/>
      <c r="G1172" s="210">
        <f t="shared" si="4"/>
        <v>600805</v>
      </c>
      <c r="H1172" s="94"/>
      <c r="I1172" s="94"/>
      <c r="J1172" s="94"/>
      <c r="K1172" s="94"/>
    </row>
    <row r="1173" ht="22.5" customHeight="1">
      <c r="A1173" s="37">
        <v>1171.0</v>
      </c>
      <c r="B1173" s="214" t="s">
        <v>109</v>
      </c>
      <c r="C1173" s="190"/>
      <c r="D1173" s="212">
        <v>46097.0</v>
      </c>
      <c r="E1173" s="213">
        <v>23755.0</v>
      </c>
      <c r="F1173" s="190"/>
      <c r="G1173" s="210">
        <f t="shared" si="4"/>
        <v>23755</v>
      </c>
      <c r="H1173" s="94"/>
      <c r="I1173" s="94"/>
      <c r="J1173" s="94"/>
      <c r="K1173" s="94"/>
    </row>
    <row r="1174" ht="22.5" customHeight="1">
      <c r="A1174" s="55">
        <v>1172.0</v>
      </c>
      <c r="B1174" s="214" t="s">
        <v>839</v>
      </c>
      <c r="C1174" s="190"/>
      <c r="D1174" s="212">
        <v>46097.0</v>
      </c>
      <c r="E1174" s="213">
        <v>37125.0</v>
      </c>
      <c r="F1174" s="190"/>
      <c r="G1174" s="210">
        <f t="shared" si="4"/>
        <v>37125</v>
      </c>
      <c r="H1174" s="94"/>
      <c r="I1174" s="94"/>
      <c r="J1174" s="94"/>
      <c r="K1174" s="94"/>
    </row>
    <row r="1175" ht="22.5" customHeight="1">
      <c r="A1175" s="37">
        <v>1173.0</v>
      </c>
      <c r="B1175" s="214" t="s">
        <v>295</v>
      </c>
      <c r="C1175" s="190"/>
      <c r="D1175" s="212">
        <v>46097.0</v>
      </c>
      <c r="E1175" s="213">
        <v>19000.0</v>
      </c>
      <c r="F1175" s="190"/>
      <c r="G1175" s="210">
        <f t="shared" si="4"/>
        <v>19000</v>
      </c>
      <c r="H1175" s="94"/>
      <c r="I1175" s="94"/>
      <c r="J1175" s="94"/>
      <c r="K1175" s="94"/>
    </row>
    <row r="1176" ht="22.5" customHeight="1">
      <c r="A1176" s="55">
        <v>1174.0</v>
      </c>
      <c r="B1176" s="214" t="s">
        <v>993</v>
      </c>
      <c r="C1176" s="190"/>
      <c r="D1176" s="212">
        <v>46097.0</v>
      </c>
      <c r="E1176" s="213">
        <v>10800.0</v>
      </c>
      <c r="F1176" s="190"/>
      <c r="G1176" s="210">
        <f t="shared" si="4"/>
        <v>10800</v>
      </c>
      <c r="H1176" s="94"/>
      <c r="I1176" s="94"/>
      <c r="J1176" s="94"/>
      <c r="K1176" s="94"/>
    </row>
    <row r="1177" ht="22.5" customHeight="1">
      <c r="A1177" s="37">
        <v>1175.0</v>
      </c>
      <c r="B1177" s="214" t="s">
        <v>994</v>
      </c>
      <c r="C1177" s="190"/>
      <c r="D1177" s="212">
        <v>46097.0</v>
      </c>
      <c r="E1177" s="213">
        <v>54000.0</v>
      </c>
      <c r="F1177" s="190"/>
      <c r="G1177" s="210">
        <f t="shared" si="4"/>
        <v>54000</v>
      </c>
      <c r="H1177" s="94"/>
      <c r="I1177" s="94"/>
      <c r="J1177" s="94"/>
      <c r="K1177" s="94"/>
    </row>
    <row r="1178" ht="22.5" customHeight="1">
      <c r="A1178" s="55">
        <v>1176.0</v>
      </c>
      <c r="B1178" s="214" t="s">
        <v>995</v>
      </c>
      <c r="C1178" s="190"/>
      <c r="D1178" s="212">
        <v>46097.0</v>
      </c>
      <c r="E1178" s="213">
        <v>10887.0</v>
      </c>
      <c r="F1178" s="190"/>
      <c r="G1178" s="210">
        <f t="shared" si="4"/>
        <v>10887</v>
      </c>
      <c r="H1178" s="94"/>
      <c r="I1178" s="94"/>
      <c r="J1178" s="94"/>
      <c r="K1178" s="94"/>
    </row>
    <row r="1179" ht="22.5" customHeight="1">
      <c r="A1179" s="37">
        <v>1177.0</v>
      </c>
      <c r="B1179" s="214" t="s">
        <v>941</v>
      </c>
      <c r="C1179" s="190"/>
      <c r="D1179" s="212">
        <v>46097.0</v>
      </c>
      <c r="E1179" s="213">
        <v>28742.0</v>
      </c>
      <c r="F1179" s="190"/>
      <c r="G1179" s="210">
        <f t="shared" si="4"/>
        <v>28742</v>
      </c>
      <c r="H1179" s="94"/>
      <c r="I1179" s="94"/>
      <c r="J1179" s="94"/>
      <c r="K1179" s="94"/>
    </row>
    <row r="1180" ht="22.5" customHeight="1">
      <c r="A1180" s="55">
        <v>1178.0</v>
      </c>
      <c r="B1180" s="214" t="s">
        <v>847</v>
      </c>
      <c r="C1180" s="190"/>
      <c r="D1180" s="212">
        <v>46097.0</v>
      </c>
      <c r="E1180" s="213">
        <v>23650.0</v>
      </c>
      <c r="F1180" s="190"/>
      <c r="G1180" s="210">
        <f t="shared" si="4"/>
        <v>23650</v>
      </c>
      <c r="H1180" s="94"/>
      <c r="I1180" s="94"/>
      <c r="J1180" s="94"/>
      <c r="K1180" s="94"/>
    </row>
    <row r="1181" ht="22.5" customHeight="1">
      <c r="A1181" s="37">
        <v>1179.0</v>
      </c>
      <c r="B1181" s="214" t="s">
        <v>142</v>
      </c>
      <c r="C1181" s="190"/>
      <c r="D1181" s="212">
        <v>46097.0</v>
      </c>
      <c r="E1181" s="213">
        <v>39200.0</v>
      </c>
      <c r="F1181" s="190"/>
      <c r="G1181" s="210">
        <f t="shared" si="4"/>
        <v>39200</v>
      </c>
      <c r="H1181" s="94"/>
      <c r="I1181" s="94"/>
      <c r="J1181" s="94"/>
      <c r="K1181" s="94"/>
    </row>
    <row r="1182" ht="22.5" customHeight="1">
      <c r="A1182" s="55">
        <v>1180.0</v>
      </c>
      <c r="B1182" s="214" t="s">
        <v>872</v>
      </c>
      <c r="C1182" s="190"/>
      <c r="D1182" s="212">
        <v>46097.0</v>
      </c>
      <c r="E1182" s="213">
        <v>40000.0</v>
      </c>
      <c r="F1182" s="190"/>
      <c r="G1182" s="210">
        <f t="shared" si="4"/>
        <v>40000</v>
      </c>
      <c r="H1182" s="94"/>
      <c r="I1182" s="94"/>
      <c r="J1182" s="94"/>
      <c r="K1182" s="94"/>
    </row>
    <row r="1183" ht="22.5" customHeight="1">
      <c r="A1183" s="37">
        <v>1181.0</v>
      </c>
      <c r="B1183" s="214" t="s">
        <v>977</v>
      </c>
      <c r="C1183" s="190"/>
      <c r="D1183" s="212">
        <v>46097.0</v>
      </c>
      <c r="E1183" s="213">
        <v>14000.0</v>
      </c>
      <c r="F1183" s="190"/>
      <c r="G1183" s="210">
        <f t="shared" si="4"/>
        <v>14000</v>
      </c>
      <c r="H1183" s="94"/>
      <c r="I1183" s="94"/>
      <c r="J1183" s="94"/>
      <c r="K1183" s="94"/>
    </row>
    <row r="1184" ht="22.5" customHeight="1">
      <c r="A1184" s="55">
        <v>1182.0</v>
      </c>
      <c r="B1184" s="214" t="s">
        <v>109</v>
      </c>
      <c r="C1184" s="190"/>
      <c r="D1184" s="212">
        <v>46098.0</v>
      </c>
      <c r="E1184" s="213">
        <v>4634.28</v>
      </c>
      <c r="F1184" s="190"/>
      <c r="G1184" s="210">
        <f t="shared" si="4"/>
        <v>4634.28</v>
      </c>
      <c r="H1184" s="94"/>
      <c r="I1184" s="94"/>
      <c r="J1184" s="94"/>
      <c r="K1184" s="94"/>
    </row>
    <row r="1185" ht="22.5" customHeight="1">
      <c r="A1185" s="37">
        <v>1183.0</v>
      </c>
      <c r="B1185" s="214" t="s">
        <v>109</v>
      </c>
      <c r="C1185" s="190"/>
      <c r="D1185" s="212">
        <v>46099.0</v>
      </c>
      <c r="E1185" s="213">
        <v>11856.12</v>
      </c>
      <c r="F1185" s="190"/>
      <c r="G1185" s="210">
        <f t="shared" si="4"/>
        <v>11856.12</v>
      </c>
      <c r="H1185" s="94"/>
      <c r="I1185" s="94"/>
      <c r="J1185" s="94"/>
      <c r="K1185" s="94"/>
    </row>
    <row r="1186" ht="22.5" customHeight="1">
      <c r="A1186" s="55">
        <v>1184.0</v>
      </c>
      <c r="B1186" s="214" t="s">
        <v>109</v>
      </c>
      <c r="C1186" s="190"/>
      <c r="D1186" s="212">
        <v>46099.0</v>
      </c>
      <c r="E1186" s="213">
        <v>16891.0</v>
      </c>
      <c r="F1186" s="190"/>
      <c r="G1186" s="210">
        <f t="shared" si="4"/>
        <v>16891</v>
      </c>
      <c r="H1186" s="94"/>
      <c r="I1186" s="94"/>
      <c r="J1186" s="94"/>
      <c r="K1186" s="94"/>
    </row>
    <row r="1187" ht="22.5" customHeight="1">
      <c r="A1187" s="37">
        <v>1185.0</v>
      </c>
      <c r="B1187" s="214" t="s">
        <v>109</v>
      </c>
      <c r="C1187" s="190"/>
      <c r="D1187" s="212">
        <v>46099.0</v>
      </c>
      <c r="E1187" s="213">
        <v>5091.28</v>
      </c>
      <c r="F1187" s="190"/>
      <c r="G1187" s="210">
        <f t="shared" si="4"/>
        <v>5091.28</v>
      </c>
      <c r="H1187" s="94"/>
      <c r="I1187" s="94"/>
      <c r="J1187" s="94"/>
      <c r="K1187" s="94"/>
    </row>
    <row r="1188" ht="22.5" customHeight="1">
      <c r="A1188" s="55">
        <v>1186.0</v>
      </c>
      <c r="B1188" s="214" t="s">
        <v>813</v>
      </c>
      <c r="C1188" s="190"/>
      <c r="D1188" s="212">
        <v>46100.0</v>
      </c>
      <c r="E1188" s="213">
        <v>22500.0</v>
      </c>
      <c r="F1188" s="190"/>
      <c r="G1188" s="210">
        <f t="shared" si="4"/>
        <v>22500</v>
      </c>
      <c r="H1188" s="94"/>
      <c r="I1188" s="94"/>
      <c r="J1188" s="94"/>
      <c r="K1188" s="94"/>
    </row>
    <row r="1189" ht="22.5" customHeight="1">
      <c r="A1189" s="37">
        <v>1187.0</v>
      </c>
      <c r="B1189" s="214" t="s">
        <v>359</v>
      </c>
      <c r="C1189" s="190"/>
      <c r="D1189" s="212">
        <v>46100.0</v>
      </c>
      <c r="E1189" s="213">
        <v>15000.0</v>
      </c>
      <c r="F1189" s="190"/>
      <c r="G1189" s="210">
        <f t="shared" si="4"/>
        <v>15000</v>
      </c>
      <c r="H1189" s="94"/>
      <c r="I1189" s="94"/>
      <c r="J1189" s="94"/>
      <c r="K1189" s="94"/>
    </row>
    <row r="1190" ht="22.5" customHeight="1">
      <c r="A1190" s="55">
        <v>1188.0</v>
      </c>
      <c r="B1190" s="214" t="s">
        <v>321</v>
      </c>
      <c r="C1190" s="190"/>
      <c r="D1190" s="212">
        <v>46100.0</v>
      </c>
      <c r="E1190" s="213">
        <v>10000.0</v>
      </c>
      <c r="F1190" s="190"/>
      <c r="G1190" s="210">
        <f t="shared" si="4"/>
        <v>10000</v>
      </c>
      <c r="H1190" s="94"/>
      <c r="I1190" s="94"/>
      <c r="J1190" s="94"/>
      <c r="K1190" s="94"/>
    </row>
    <row r="1191" ht="22.5" customHeight="1">
      <c r="A1191" s="37">
        <v>1189.0</v>
      </c>
      <c r="B1191" s="214" t="s">
        <v>991</v>
      </c>
      <c r="C1191" s="190"/>
      <c r="D1191" s="212">
        <v>46100.0</v>
      </c>
      <c r="E1191" s="213">
        <v>2500.0</v>
      </c>
      <c r="F1191" s="190"/>
      <c r="G1191" s="210">
        <f t="shared" si="4"/>
        <v>2500</v>
      </c>
      <c r="H1191" s="94"/>
      <c r="I1191" s="94"/>
      <c r="J1191" s="94"/>
      <c r="K1191" s="94"/>
    </row>
    <row r="1192" ht="22.5" customHeight="1">
      <c r="A1192" s="55">
        <v>1190.0</v>
      </c>
      <c r="B1192" s="214" t="s">
        <v>996</v>
      </c>
      <c r="C1192" s="190"/>
      <c r="D1192" s="212">
        <v>46100.0</v>
      </c>
      <c r="E1192" s="213">
        <v>50000.0</v>
      </c>
      <c r="F1192" s="190"/>
      <c r="G1192" s="210">
        <f t="shared" si="4"/>
        <v>50000</v>
      </c>
      <c r="H1192" s="94"/>
      <c r="I1192" s="94"/>
      <c r="J1192" s="94"/>
      <c r="K1192" s="94"/>
    </row>
    <row r="1193" ht="22.5" customHeight="1">
      <c r="A1193" s="37">
        <v>1191.0</v>
      </c>
      <c r="B1193" s="214" t="s">
        <v>997</v>
      </c>
      <c r="C1193" s="190"/>
      <c r="D1193" s="212">
        <v>46100.0</v>
      </c>
      <c r="E1193" s="213">
        <v>319200.0</v>
      </c>
      <c r="F1193" s="190"/>
      <c r="G1193" s="210">
        <f t="shared" si="4"/>
        <v>319200</v>
      </c>
      <c r="H1193" s="94"/>
      <c r="I1193" s="94"/>
      <c r="J1193" s="94"/>
      <c r="K1193" s="94"/>
    </row>
    <row r="1194" ht="22.5" customHeight="1">
      <c r="A1194" s="55">
        <v>1192.0</v>
      </c>
      <c r="B1194" s="214" t="s">
        <v>998</v>
      </c>
      <c r="C1194" s="190"/>
      <c r="D1194" s="212">
        <v>46100.0</v>
      </c>
      <c r="E1194" s="213">
        <v>10000.0</v>
      </c>
      <c r="F1194" s="190"/>
      <c r="G1194" s="210">
        <f t="shared" si="4"/>
        <v>10000</v>
      </c>
      <c r="H1194" s="94"/>
      <c r="I1194" s="94"/>
      <c r="J1194" s="94"/>
      <c r="K1194" s="94"/>
    </row>
    <row r="1195" ht="22.5" customHeight="1">
      <c r="A1195" s="37">
        <v>1193.0</v>
      </c>
      <c r="B1195" s="214" t="s">
        <v>999</v>
      </c>
      <c r="C1195" s="190"/>
      <c r="D1195" s="212">
        <v>46100.0</v>
      </c>
      <c r="E1195" s="213">
        <v>10000.0</v>
      </c>
      <c r="F1195" s="190"/>
      <c r="G1195" s="210">
        <f t="shared" si="4"/>
        <v>10000</v>
      </c>
      <c r="H1195" s="94"/>
      <c r="I1195" s="94"/>
      <c r="J1195" s="94"/>
      <c r="K1195" s="94"/>
    </row>
    <row r="1196" ht="22.5" customHeight="1">
      <c r="A1196" s="55">
        <v>1194.0</v>
      </c>
      <c r="B1196" s="214" t="s">
        <v>996</v>
      </c>
      <c r="C1196" s="190"/>
      <c r="D1196" s="212">
        <v>46101.0</v>
      </c>
      <c r="E1196" s="213">
        <v>50000.0</v>
      </c>
      <c r="F1196" s="190"/>
      <c r="G1196" s="210">
        <f t="shared" si="4"/>
        <v>50000</v>
      </c>
      <c r="H1196" s="94"/>
      <c r="I1196" s="94"/>
      <c r="J1196" s="94"/>
      <c r="K1196" s="94"/>
    </row>
    <row r="1197" ht="22.5" customHeight="1">
      <c r="A1197" s="37">
        <v>1195.0</v>
      </c>
      <c r="B1197" s="214" t="s">
        <v>847</v>
      </c>
      <c r="C1197" s="190"/>
      <c r="D1197" s="212">
        <v>46101.0</v>
      </c>
      <c r="E1197" s="213">
        <v>60000.0</v>
      </c>
      <c r="F1197" s="190"/>
      <c r="G1197" s="210">
        <f t="shared" si="4"/>
        <v>60000</v>
      </c>
      <c r="H1197" s="94"/>
      <c r="I1197" s="94"/>
      <c r="J1197" s="94"/>
      <c r="K1197" s="94"/>
    </row>
    <row r="1198" ht="22.5" customHeight="1">
      <c r="A1198" s="55">
        <v>1196.0</v>
      </c>
      <c r="B1198" s="214" t="s">
        <v>1000</v>
      </c>
      <c r="C1198" s="190"/>
      <c r="D1198" s="212">
        <v>46101.0</v>
      </c>
      <c r="E1198" s="213">
        <v>74700.0</v>
      </c>
      <c r="F1198" s="190"/>
      <c r="G1198" s="210">
        <f t="shared" si="4"/>
        <v>74700</v>
      </c>
      <c r="H1198" s="94"/>
      <c r="I1198" s="94"/>
      <c r="J1198" s="94"/>
      <c r="K1198" s="94"/>
    </row>
    <row r="1199" ht="22.5" customHeight="1">
      <c r="A1199" s="37">
        <v>1197.0</v>
      </c>
      <c r="B1199" s="214" t="s">
        <v>723</v>
      </c>
      <c r="C1199" s="190"/>
      <c r="D1199" s="212">
        <v>46101.0</v>
      </c>
      <c r="E1199" s="213">
        <v>3000.0</v>
      </c>
      <c r="F1199" s="190"/>
      <c r="G1199" s="210">
        <f t="shared" si="4"/>
        <v>3000</v>
      </c>
      <c r="H1199" s="94"/>
      <c r="I1199" s="94"/>
      <c r="J1199" s="94"/>
      <c r="K1199" s="94"/>
    </row>
    <row r="1200" ht="22.5" customHeight="1">
      <c r="A1200" s="55">
        <v>1198.0</v>
      </c>
      <c r="B1200" s="214" t="s">
        <v>1001</v>
      </c>
      <c r="C1200" s="190"/>
      <c r="D1200" s="212">
        <v>46101.0</v>
      </c>
      <c r="E1200" s="213">
        <v>9522.29</v>
      </c>
      <c r="F1200" s="190"/>
      <c r="G1200" s="210">
        <f t="shared" si="4"/>
        <v>9522.29</v>
      </c>
      <c r="H1200" s="94"/>
      <c r="I1200" s="94"/>
      <c r="J1200" s="94"/>
      <c r="K1200" s="94"/>
    </row>
    <row r="1201" ht="22.5" customHeight="1">
      <c r="A1201" s="37">
        <v>1199.0</v>
      </c>
      <c r="B1201" s="214" t="s">
        <v>1002</v>
      </c>
      <c r="C1201" s="190"/>
      <c r="D1201" s="212">
        <v>46101.0</v>
      </c>
      <c r="E1201" s="213">
        <v>986.2</v>
      </c>
      <c r="F1201" s="190"/>
      <c r="G1201" s="210">
        <f t="shared" si="4"/>
        <v>986.2</v>
      </c>
      <c r="H1201" s="94"/>
      <c r="I1201" s="94"/>
      <c r="J1201" s="94"/>
      <c r="K1201" s="94"/>
    </row>
    <row r="1202" ht="22.5" customHeight="1">
      <c r="A1202" s="55">
        <v>1200.0</v>
      </c>
      <c r="B1202" s="214" t="s">
        <v>855</v>
      </c>
      <c r="C1202" s="190"/>
      <c r="D1202" s="212">
        <v>46101.0</v>
      </c>
      <c r="E1202" s="213">
        <v>1516.68</v>
      </c>
      <c r="F1202" s="190"/>
      <c r="G1202" s="210">
        <f t="shared" si="4"/>
        <v>1516.68</v>
      </c>
      <c r="H1202" s="94"/>
      <c r="I1202" s="94"/>
      <c r="J1202" s="94"/>
      <c r="K1202" s="94"/>
    </row>
    <row r="1203" ht="22.5" customHeight="1">
      <c r="A1203" s="37">
        <v>1201.0</v>
      </c>
      <c r="B1203" s="214" t="s">
        <v>840</v>
      </c>
      <c r="C1203" s="190"/>
      <c r="D1203" s="212">
        <v>46101.0</v>
      </c>
      <c r="E1203" s="213">
        <v>23500.0</v>
      </c>
      <c r="F1203" s="190"/>
      <c r="G1203" s="210">
        <f t="shared" si="4"/>
        <v>23500</v>
      </c>
      <c r="H1203" s="94"/>
      <c r="I1203" s="94"/>
      <c r="J1203" s="94"/>
      <c r="K1203" s="94"/>
    </row>
    <row r="1204" ht="22.5" customHeight="1">
      <c r="A1204" s="55">
        <v>1202.0</v>
      </c>
      <c r="B1204" s="214" t="s">
        <v>359</v>
      </c>
      <c r="C1204" s="190"/>
      <c r="D1204" s="212">
        <v>46101.0</v>
      </c>
      <c r="E1204" s="213">
        <v>17500.0</v>
      </c>
      <c r="F1204" s="190"/>
      <c r="G1204" s="210">
        <f t="shared" si="4"/>
        <v>17500</v>
      </c>
      <c r="H1204" s="94"/>
      <c r="I1204" s="94"/>
      <c r="J1204" s="94"/>
      <c r="K1204" s="94"/>
    </row>
    <row r="1205" ht="22.5" customHeight="1">
      <c r="A1205" s="37">
        <v>1203.0</v>
      </c>
      <c r="B1205" s="214" t="s">
        <v>988</v>
      </c>
      <c r="C1205" s="190"/>
      <c r="D1205" s="212">
        <v>46101.0</v>
      </c>
      <c r="E1205" s="213">
        <v>11216.0</v>
      </c>
      <c r="F1205" s="190"/>
      <c r="G1205" s="210">
        <f t="shared" si="4"/>
        <v>11216</v>
      </c>
      <c r="H1205" s="94"/>
      <c r="I1205" s="94"/>
      <c r="J1205" s="94"/>
      <c r="K1205" s="94"/>
    </row>
    <row r="1206" ht="22.5" customHeight="1">
      <c r="A1206" s="55">
        <v>1204.0</v>
      </c>
      <c r="B1206" s="214" t="s">
        <v>921</v>
      </c>
      <c r="C1206" s="190"/>
      <c r="D1206" s="212">
        <v>46101.0</v>
      </c>
      <c r="E1206" s="213">
        <v>4761.62</v>
      </c>
      <c r="F1206" s="190"/>
      <c r="G1206" s="210">
        <f t="shared" si="4"/>
        <v>4761.62</v>
      </c>
      <c r="H1206" s="94"/>
      <c r="I1206" s="94"/>
      <c r="J1206" s="94"/>
      <c r="K1206" s="94"/>
    </row>
    <row r="1207" ht="22.5" customHeight="1">
      <c r="A1207" s="37">
        <v>1205.0</v>
      </c>
      <c r="B1207" s="214" t="s">
        <v>921</v>
      </c>
      <c r="C1207" s="190"/>
      <c r="D1207" s="212">
        <v>46101.0</v>
      </c>
      <c r="E1207" s="213">
        <v>1123.34</v>
      </c>
      <c r="F1207" s="190"/>
      <c r="G1207" s="210">
        <f t="shared" si="4"/>
        <v>1123.34</v>
      </c>
      <c r="H1207" s="94"/>
      <c r="I1207" s="94"/>
      <c r="J1207" s="94"/>
      <c r="K1207" s="94"/>
    </row>
    <row r="1208" ht="22.5" customHeight="1">
      <c r="A1208" s="55">
        <v>1206.0</v>
      </c>
      <c r="B1208" s="214" t="s">
        <v>225</v>
      </c>
      <c r="C1208" s="190"/>
      <c r="D1208" s="212">
        <v>46101.0</v>
      </c>
      <c r="E1208" s="213">
        <v>48486.0</v>
      </c>
      <c r="F1208" s="190"/>
      <c r="G1208" s="210">
        <f t="shared" si="4"/>
        <v>48486</v>
      </c>
      <c r="H1208" s="94"/>
      <c r="I1208" s="94"/>
      <c r="J1208" s="94"/>
      <c r="K1208" s="94"/>
    </row>
    <row r="1209" ht="22.5" customHeight="1">
      <c r="A1209" s="37">
        <v>1207.0</v>
      </c>
      <c r="B1209" s="214" t="s">
        <v>996</v>
      </c>
      <c r="C1209" s="190"/>
      <c r="D1209" s="212">
        <v>46102.0</v>
      </c>
      <c r="E1209" s="213">
        <v>30000.0</v>
      </c>
      <c r="F1209" s="190"/>
      <c r="G1209" s="210">
        <f t="shared" si="4"/>
        <v>30000</v>
      </c>
      <c r="H1209" s="94"/>
      <c r="I1209" s="94"/>
      <c r="J1209" s="94"/>
      <c r="K1209" s="94"/>
    </row>
    <row r="1210" ht="22.5" customHeight="1">
      <c r="A1210" s="55">
        <v>1208.0</v>
      </c>
      <c r="B1210" s="214" t="s">
        <v>879</v>
      </c>
      <c r="C1210" s="190"/>
      <c r="D1210" s="212">
        <v>46102.0</v>
      </c>
      <c r="E1210" s="213">
        <v>50000.0</v>
      </c>
      <c r="F1210" s="190"/>
      <c r="G1210" s="210">
        <f t="shared" si="4"/>
        <v>50000</v>
      </c>
      <c r="H1210" s="94"/>
      <c r="I1210" s="94"/>
      <c r="J1210" s="94"/>
      <c r="K1210" s="94"/>
    </row>
    <row r="1211" ht="22.5" customHeight="1">
      <c r="A1211" s="37">
        <v>1209.0</v>
      </c>
      <c r="B1211" s="214" t="s">
        <v>943</v>
      </c>
      <c r="C1211" s="190"/>
      <c r="D1211" s="212">
        <v>46102.0</v>
      </c>
      <c r="E1211" s="213">
        <v>19900.0</v>
      </c>
      <c r="F1211" s="190"/>
      <c r="G1211" s="210">
        <f t="shared" si="4"/>
        <v>19900</v>
      </c>
      <c r="H1211" s="94"/>
      <c r="I1211" s="94"/>
      <c r="J1211" s="94"/>
      <c r="K1211" s="94"/>
    </row>
    <row r="1212" ht="22.5" customHeight="1">
      <c r="A1212" s="55">
        <v>1210.0</v>
      </c>
      <c r="B1212" s="214" t="s">
        <v>1003</v>
      </c>
      <c r="C1212" s="190"/>
      <c r="D1212" s="212">
        <v>46102.0</v>
      </c>
      <c r="E1212" s="213">
        <v>2000.0</v>
      </c>
      <c r="F1212" s="190"/>
      <c r="G1212" s="210">
        <f t="shared" si="4"/>
        <v>2000</v>
      </c>
      <c r="H1212" s="94"/>
      <c r="I1212" s="94"/>
      <c r="J1212" s="94"/>
      <c r="K1212" s="94"/>
    </row>
    <row r="1213" ht="22.5" customHeight="1">
      <c r="A1213" s="37">
        <v>1211.0</v>
      </c>
      <c r="B1213" s="214" t="s">
        <v>1004</v>
      </c>
      <c r="C1213" s="190"/>
      <c r="D1213" s="212">
        <v>46102.0</v>
      </c>
      <c r="E1213" s="213">
        <v>5800.0</v>
      </c>
      <c r="F1213" s="190"/>
      <c r="G1213" s="210">
        <f t="shared" si="4"/>
        <v>5800</v>
      </c>
      <c r="H1213" s="94"/>
      <c r="I1213" s="94"/>
      <c r="J1213" s="94"/>
      <c r="K1213" s="94"/>
    </row>
    <row r="1214" ht="22.5" customHeight="1">
      <c r="A1214" s="55">
        <v>1212.0</v>
      </c>
      <c r="B1214" s="214" t="s">
        <v>1005</v>
      </c>
      <c r="C1214" s="190"/>
      <c r="D1214" s="212">
        <v>46102.0</v>
      </c>
      <c r="E1214" s="213">
        <v>17800.0</v>
      </c>
      <c r="F1214" s="190"/>
      <c r="G1214" s="210">
        <f t="shared" si="4"/>
        <v>17800</v>
      </c>
      <c r="H1214" s="94"/>
      <c r="I1214" s="94"/>
      <c r="J1214" s="94"/>
      <c r="K1214" s="94"/>
    </row>
    <row r="1215" ht="22.5" customHeight="1">
      <c r="A1215" s="37">
        <v>1213.0</v>
      </c>
      <c r="B1215" s="214" t="s">
        <v>1006</v>
      </c>
      <c r="C1215" s="190"/>
      <c r="D1215" s="212">
        <v>46102.0</v>
      </c>
      <c r="E1215" s="213">
        <v>7371.0</v>
      </c>
      <c r="F1215" s="190"/>
      <c r="G1215" s="210">
        <f t="shared" si="4"/>
        <v>7371</v>
      </c>
      <c r="H1215" s="94"/>
      <c r="I1215" s="94"/>
      <c r="J1215" s="94"/>
      <c r="K1215" s="94"/>
    </row>
    <row r="1216" ht="22.5" customHeight="1">
      <c r="A1216" s="55">
        <v>1214.0</v>
      </c>
      <c r="B1216" s="214" t="s">
        <v>1007</v>
      </c>
      <c r="C1216" s="190"/>
      <c r="D1216" s="212">
        <v>46102.0</v>
      </c>
      <c r="E1216" s="213">
        <v>8500.0</v>
      </c>
      <c r="F1216" s="190"/>
      <c r="G1216" s="210">
        <f t="shared" si="4"/>
        <v>8500</v>
      </c>
      <c r="H1216" s="94"/>
      <c r="I1216" s="94"/>
      <c r="J1216" s="94"/>
      <c r="K1216" s="94"/>
    </row>
    <row r="1217" ht="22.5" customHeight="1">
      <c r="A1217" s="37">
        <v>1215.0</v>
      </c>
      <c r="B1217" s="214" t="s">
        <v>1008</v>
      </c>
      <c r="C1217" s="190"/>
      <c r="D1217" s="212">
        <v>46102.0</v>
      </c>
      <c r="E1217" s="213">
        <v>12500.0</v>
      </c>
      <c r="F1217" s="190"/>
      <c r="G1217" s="210">
        <f t="shared" si="4"/>
        <v>12500</v>
      </c>
      <c r="H1217" s="94"/>
      <c r="I1217" s="94"/>
      <c r="J1217" s="94"/>
      <c r="K1217" s="94"/>
    </row>
    <row r="1218" ht="22.5" customHeight="1">
      <c r="A1218" s="55">
        <v>1216.0</v>
      </c>
      <c r="B1218" s="214" t="s">
        <v>1009</v>
      </c>
      <c r="C1218" s="190"/>
      <c r="D1218" s="212">
        <v>46102.0</v>
      </c>
      <c r="E1218" s="213">
        <v>5000.0</v>
      </c>
      <c r="F1218" s="190"/>
      <c r="G1218" s="210">
        <f t="shared" si="4"/>
        <v>5000</v>
      </c>
      <c r="H1218" s="94"/>
      <c r="I1218" s="94"/>
      <c r="J1218" s="94"/>
      <c r="K1218" s="94"/>
    </row>
    <row r="1219" ht="22.5" customHeight="1">
      <c r="A1219" s="37">
        <v>1217.0</v>
      </c>
      <c r="B1219" s="214" t="s">
        <v>991</v>
      </c>
      <c r="C1219" s="190"/>
      <c r="D1219" s="212">
        <v>46102.0</v>
      </c>
      <c r="E1219" s="213">
        <v>2485.0</v>
      </c>
      <c r="F1219" s="190"/>
      <c r="G1219" s="210">
        <f t="shared" si="4"/>
        <v>2485</v>
      </c>
      <c r="H1219" s="94"/>
      <c r="I1219" s="94"/>
      <c r="J1219" s="94"/>
      <c r="K1219" s="94"/>
    </row>
    <row r="1220" ht="22.5" customHeight="1">
      <c r="A1220" s="55">
        <v>1218.0</v>
      </c>
      <c r="B1220" s="214" t="s">
        <v>855</v>
      </c>
      <c r="C1220" s="190"/>
      <c r="D1220" s="212">
        <v>46103.0</v>
      </c>
      <c r="E1220" s="213">
        <v>2327.14</v>
      </c>
      <c r="F1220" s="190"/>
      <c r="G1220" s="210">
        <f t="shared" si="4"/>
        <v>2327.14</v>
      </c>
      <c r="H1220" s="94"/>
      <c r="I1220" s="94"/>
      <c r="J1220" s="94"/>
      <c r="K1220" s="94"/>
    </row>
    <row r="1221" ht="22.5" customHeight="1">
      <c r="A1221" s="37">
        <v>1219.0</v>
      </c>
      <c r="B1221" s="214" t="s">
        <v>855</v>
      </c>
      <c r="C1221" s="190"/>
      <c r="D1221" s="212">
        <v>46103.0</v>
      </c>
      <c r="E1221" s="213">
        <v>2052.94</v>
      </c>
      <c r="F1221" s="190"/>
      <c r="G1221" s="210">
        <f t="shared" si="4"/>
        <v>2052.94</v>
      </c>
      <c r="H1221" s="94"/>
      <c r="I1221" s="94"/>
      <c r="J1221" s="94"/>
      <c r="K1221" s="94"/>
    </row>
    <row r="1222" ht="22.5" customHeight="1">
      <c r="A1222" s="55">
        <v>1220.0</v>
      </c>
      <c r="B1222" s="214" t="s">
        <v>1010</v>
      </c>
      <c r="C1222" s="190"/>
      <c r="D1222" s="212">
        <v>46104.0</v>
      </c>
      <c r="E1222" s="213">
        <v>25657.0</v>
      </c>
      <c r="F1222" s="190"/>
      <c r="G1222" s="210">
        <f t="shared" si="4"/>
        <v>25657</v>
      </c>
      <c r="H1222" s="94"/>
      <c r="I1222" s="94"/>
      <c r="J1222" s="94"/>
      <c r="K1222" s="94"/>
    </row>
    <row r="1223" ht="22.5" customHeight="1">
      <c r="A1223" s="37">
        <v>1221.0</v>
      </c>
      <c r="B1223" s="214" t="s">
        <v>1011</v>
      </c>
      <c r="C1223" s="190"/>
      <c r="D1223" s="212">
        <v>46104.0</v>
      </c>
      <c r="E1223" s="213">
        <v>15000.0</v>
      </c>
      <c r="F1223" s="190"/>
      <c r="G1223" s="210">
        <f t="shared" si="4"/>
        <v>15000</v>
      </c>
      <c r="H1223" s="94"/>
      <c r="I1223" s="94"/>
      <c r="J1223" s="94"/>
      <c r="K1223" s="94"/>
    </row>
    <row r="1224" ht="22.5" customHeight="1">
      <c r="A1224" s="55">
        <v>1222.0</v>
      </c>
      <c r="B1224" s="214" t="s">
        <v>1012</v>
      </c>
      <c r="C1224" s="190"/>
      <c r="D1224" s="212">
        <v>46104.0</v>
      </c>
      <c r="E1224" s="213">
        <v>190000.0</v>
      </c>
      <c r="F1224" s="190"/>
      <c r="G1224" s="210">
        <f t="shared" si="4"/>
        <v>190000</v>
      </c>
      <c r="H1224" s="94"/>
      <c r="I1224" s="94"/>
      <c r="J1224" s="94"/>
      <c r="K1224" s="94"/>
    </row>
    <row r="1225" ht="22.5" customHeight="1">
      <c r="A1225" s="37">
        <v>1223.0</v>
      </c>
      <c r="B1225" s="214" t="s">
        <v>774</v>
      </c>
      <c r="C1225" s="190"/>
      <c r="D1225" s="212">
        <v>46104.0</v>
      </c>
      <c r="E1225" s="213">
        <v>32400.0</v>
      </c>
      <c r="F1225" s="190"/>
      <c r="G1225" s="210">
        <f t="shared" si="4"/>
        <v>32400</v>
      </c>
      <c r="H1225" s="94"/>
      <c r="I1225" s="94"/>
      <c r="J1225" s="94"/>
      <c r="K1225" s="94"/>
    </row>
    <row r="1226" ht="22.5" customHeight="1">
      <c r="A1226" s="55">
        <v>1224.0</v>
      </c>
      <c r="B1226" s="214" t="s">
        <v>1013</v>
      </c>
      <c r="C1226" s="190"/>
      <c r="D1226" s="212">
        <v>46104.0</v>
      </c>
      <c r="E1226" s="213">
        <v>30930.0</v>
      </c>
      <c r="F1226" s="190"/>
      <c r="G1226" s="210">
        <f t="shared" si="4"/>
        <v>30930</v>
      </c>
      <c r="H1226" s="94"/>
      <c r="I1226" s="94"/>
      <c r="J1226" s="94"/>
      <c r="K1226" s="94"/>
    </row>
    <row r="1227" ht="22.5" customHeight="1">
      <c r="A1227" s="37">
        <v>1225.0</v>
      </c>
      <c r="B1227" s="214" t="s">
        <v>1014</v>
      </c>
      <c r="C1227" s="190"/>
      <c r="D1227" s="212">
        <v>46104.0</v>
      </c>
      <c r="E1227" s="213">
        <v>3500.0</v>
      </c>
      <c r="F1227" s="190"/>
      <c r="G1227" s="210">
        <f t="shared" si="4"/>
        <v>3500</v>
      </c>
      <c r="H1227" s="94"/>
      <c r="I1227" s="94"/>
      <c r="J1227" s="94"/>
      <c r="K1227" s="94"/>
    </row>
    <row r="1228" ht="22.5" customHeight="1">
      <c r="A1228" s="55">
        <v>1226.0</v>
      </c>
      <c r="B1228" s="214" t="s">
        <v>1015</v>
      </c>
      <c r="C1228" s="190"/>
      <c r="D1228" s="212">
        <v>46104.0</v>
      </c>
      <c r="E1228" s="213">
        <v>30000.0</v>
      </c>
      <c r="F1228" s="190"/>
      <c r="G1228" s="210">
        <f t="shared" si="4"/>
        <v>30000</v>
      </c>
      <c r="H1228" s="94"/>
      <c r="I1228" s="94"/>
      <c r="J1228" s="94"/>
      <c r="K1228" s="94"/>
    </row>
    <row r="1229" ht="22.5" customHeight="1">
      <c r="A1229" s="37">
        <v>1227.0</v>
      </c>
      <c r="B1229" s="214" t="s">
        <v>1016</v>
      </c>
      <c r="C1229" s="190"/>
      <c r="D1229" s="212">
        <v>46104.0</v>
      </c>
      <c r="E1229" s="213">
        <v>17000.0</v>
      </c>
      <c r="F1229" s="190"/>
      <c r="G1229" s="210">
        <f t="shared" si="4"/>
        <v>17000</v>
      </c>
      <c r="H1229" s="94"/>
      <c r="I1229" s="94"/>
      <c r="J1229" s="94"/>
      <c r="K1229" s="94"/>
    </row>
    <row r="1230" ht="22.5" customHeight="1">
      <c r="A1230" s="55">
        <v>1228.0</v>
      </c>
      <c r="B1230" s="214" t="s">
        <v>1017</v>
      </c>
      <c r="C1230" s="190"/>
      <c r="D1230" s="212">
        <v>46104.0</v>
      </c>
      <c r="E1230" s="213">
        <v>32426.0</v>
      </c>
      <c r="F1230" s="190"/>
      <c r="G1230" s="210">
        <f t="shared" si="4"/>
        <v>32426</v>
      </c>
      <c r="H1230" s="94"/>
      <c r="I1230" s="94"/>
      <c r="J1230" s="94"/>
      <c r="K1230" s="94"/>
    </row>
    <row r="1231" ht="22.5" customHeight="1">
      <c r="A1231" s="37">
        <v>1229.0</v>
      </c>
      <c r="B1231" s="214" t="s">
        <v>1009</v>
      </c>
      <c r="C1231" s="190"/>
      <c r="D1231" s="212">
        <v>46104.0</v>
      </c>
      <c r="E1231" s="213">
        <v>15750.0</v>
      </c>
      <c r="F1231" s="190"/>
      <c r="G1231" s="210">
        <f t="shared" si="4"/>
        <v>15750</v>
      </c>
      <c r="H1231" s="94"/>
      <c r="I1231" s="94"/>
      <c r="J1231" s="94"/>
      <c r="K1231" s="94"/>
    </row>
    <row r="1232" ht="22.5" customHeight="1">
      <c r="A1232" s="55">
        <v>1230.0</v>
      </c>
      <c r="B1232" s="214" t="s">
        <v>930</v>
      </c>
      <c r="C1232" s="190"/>
      <c r="D1232" s="212">
        <v>46104.0</v>
      </c>
      <c r="E1232" s="213">
        <v>15776.0</v>
      </c>
      <c r="F1232" s="190"/>
      <c r="G1232" s="210">
        <f t="shared" si="4"/>
        <v>15776</v>
      </c>
      <c r="H1232" s="94"/>
      <c r="I1232" s="94"/>
      <c r="J1232" s="94"/>
      <c r="K1232" s="94"/>
    </row>
    <row r="1233" ht="22.5" customHeight="1">
      <c r="A1233" s="37">
        <v>1231.0</v>
      </c>
      <c r="B1233" s="214" t="s">
        <v>1006</v>
      </c>
      <c r="C1233" s="190"/>
      <c r="D1233" s="212">
        <v>46104.0</v>
      </c>
      <c r="E1233" s="213">
        <v>5747.0</v>
      </c>
      <c r="F1233" s="190"/>
      <c r="G1233" s="210">
        <f t="shared" si="4"/>
        <v>5747</v>
      </c>
      <c r="H1233" s="94"/>
      <c r="I1233" s="94"/>
      <c r="J1233" s="94"/>
      <c r="K1233" s="94"/>
    </row>
    <row r="1234" ht="22.5" customHeight="1">
      <c r="A1234" s="55">
        <v>1232.0</v>
      </c>
      <c r="B1234" s="214" t="s">
        <v>1004</v>
      </c>
      <c r="C1234" s="190"/>
      <c r="D1234" s="212">
        <v>46104.0</v>
      </c>
      <c r="E1234" s="213">
        <v>14750.0</v>
      </c>
      <c r="F1234" s="190"/>
      <c r="G1234" s="210">
        <f t="shared" si="4"/>
        <v>14750</v>
      </c>
      <c r="H1234" s="94"/>
      <c r="I1234" s="94"/>
      <c r="J1234" s="94"/>
      <c r="K1234" s="94"/>
    </row>
    <row r="1235" ht="22.5" customHeight="1">
      <c r="A1235" s="37">
        <v>1233.0</v>
      </c>
      <c r="B1235" s="214" t="s">
        <v>784</v>
      </c>
      <c r="C1235" s="190"/>
      <c r="D1235" s="212">
        <v>46105.0</v>
      </c>
      <c r="E1235" s="213">
        <v>2022.58</v>
      </c>
      <c r="F1235" s="190"/>
      <c r="G1235" s="210">
        <f t="shared" si="4"/>
        <v>2022.58</v>
      </c>
      <c r="H1235" s="94"/>
      <c r="I1235" s="94"/>
      <c r="J1235" s="94"/>
      <c r="K1235" s="94"/>
    </row>
    <row r="1236" ht="22.5" customHeight="1">
      <c r="A1236" s="55">
        <v>1234.0</v>
      </c>
      <c r="B1236" s="214" t="s">
        <v>936</v>
      </c>
      <c r="C1236" s="190"/>
      <c r="D1236" s="212">
        <v>46105.0</v>
      </c>
      <c r="E1236" s="213">
        <v>25000.0</v>
      </c>
      <c r="F1236" s="190"/>
      <c r="G1236" s="210">
        <f t="shared" si="4"/>
        <v>25000</v>
      </c>
      <c r="H1236" s="94"/>
      <c r="I1236" s="94"/>
      <c r="J1236" s="94"/>
      <c r="K1236" s="94"/>
    </row>
    <row r="1237" ht="22.5" customHeight="1">
      <c r="A1237" s="37">
        <v>1235.0</v>
      </c>
      <c r="B1237" s="214" t="s">
        <v>944</v>
      </c>
      <c r="C1237" s="190"/>
      <c r="D1237" s="212">
        <v>46105.0</v>
      </c>
      <c r="E1237" s="213">
        <v>22000.0</v>
      </c>
      <c r="F1237" s="190"/>
      <c r="G1237" s="210">
        <f t="shared" si="4"/>
        <v>22000</v>
      </c>
      <c r="H1237" s="94"/>
      <c r="I1237" s="94"/>
      <c r="J1237" s="94"/>
      <c r="K1237" s="94"/>
    </row>
    <row r="1238" ht="22.5" customHeight="1">
      <c r="A1238" s="55">
        <v>1236.0</v>
      </c>
      <c r="B1238" s="214" t="s">
        <v>362</v>
      </c>
      <c r="C1238" s="190"/>
      <c r="D1238" s="212">
        <v>46105.0</v>
      </c>
      <c r="E1238" s="213">
        <v>8285.0</v>
      </c>
      <c r="F1238" s="190"/>
      <c r="G1238" s="210">
        <f t="shared" si="4"/>
        <v>8285</v>
      </c>
      <c r="H1238" s="94"/>
      <c r="I1238" s="94"/>
      <c r="J1238" s="94"/>
      <c r="K1238" s="94"/>
    </row>
    <row r="1239" ht="22.5" customHeight="1">
      <c r="A1239" s="37">
        <v>1237.0</v>
      </c>
      <c r="B1239" s="214" t="s">
        <v>346</v>
      </c>
      <c r="C1239" s="190"/>
      <c r="D1239" s="212">
        <v>46105.0</v>
      </c>
      <c r="E1239" s="213">
        <v>8031.0</v>
      </c>
      <c r="F1239" s="190"/>
      <c r="G1239" s="210">
        <f t="shared" si="4"/>
        <v>8031</v>
      </c>
      <c r="H1239" s="94"/>
      <c r="I1239" s="94"/>
      <c r="J1239" s="94"/>
      <c r="K1239" s="94"/>
    </row>
    <row r="1240" ht="22.5" customHeight="1">
      <c r="A1240" s="55">
        <v>1238.0</v>
      </c>
      <c r="B1240" s="214" t="s">
        <v>921</v>
      </c>
      <c r="C1240" s="190"/>
      <c r="D1240" s="212">
        <v>46106.0</v>
      </c>
      <c r="E1240" s="213">
        <v>434.19</v>
      </c>
      <c r="F1240" s="190"/>
      <c r="G1240" s="210">
        <f t="shared" si="4"/>
        <v>434.19</v>
      </c>
      <c r="H1240" s="94"/>
      <c r="I1240" s="94"/>
      <c r="J1240" s="94"/>
      <c r="K1240" s="94"/>
    </row>
    <row r="1241" ht="22.5" customHeight="1">
      <c r="A1241" s="37">
        <v>1239.0</v>
      </c>
      <c r="B1241" s="214" t="s">
        <v>858</v>
      </c>
      <c r="C1241" s="190"/>
      <c r="D1241" s="212">
        <v>46106.0</v>
      </c>
      <c r="E1241" s="213">
        <v>2933.76</v>
      </c>
      <c r="F1241" s="190"/>
      <c r="G1241" s="210">
        <f t="shared" si="4"/>
        <v>2933.76</v>
      </c>
      <c r="H1241" s="94"/>
      <c r="I1241" s="94"/>
      <c r="J1241" s="94"/>
      <c r="K1241" s="94"/>
    </row>
    <row r="1242" ht="22.5" customHeight="1">
      <c r="A1242" s="55">
        <v>1240.0</v>
      </c>
      <c r="B1242" s="214" t="s">
        <v>971</v>
      </c>
      <c r="C1242" s="190"/>
      <c r="D1242" s="212">
        <v>46106.0</v>
      </c>
      <c r="E1242" s="213">
        <v>60000.0</v>
      </c>
      <c r="F1242" s="190"/>
      <c r="G1242" s="210">
        <f t="shared" si="4"/>
        <v>60000</v>
      </c>
      <c r="H1242" s="94"/>
      <c r="I1242" s="94"/>
      <c r="J1242" s="94"/>
      <c r="K1242" s="94"/>
    </row>
    <row r="1243" ht="22.5" customHeight="1">
      <c r="A1243" s="37">
        <v>1241.0</v>
      </c>
      <c r="B1243" s="214" t="s">
        <v>938</v>
      </c>
      <c r="C1243" s="190"/>
      <c r="D1243" s="212">
        <v>46106.0</v>
      </c>
      <c r="E1243" s="213">
        <v>35000.0</v>
      </c>
      <c r="F1243" s="190"/>
      <c r="G1243" s="210">
        <f t="shared" si="4"/>
        <v>35000</v>
      </c>
      <c r="H1243" s="94"/>
      <c r="I1243" s="94"/>
      <c r="J1243" s="94"/>
      <c r="K1243" s="94"/>
    </row>
    <row r="1244" ht="22.5" customHeight="1">
      <c r="A1244" s="55">
        <v>1242.0</v>
      </c>
      <c r="B1244" s="214" t="s">
        <v>908</v>
      </c>
      <c r="C1244" s="190"/>
      <c r="D1244" s="212">
        <v>46106.0</v>
      </c>
      <c r="E1244" s="213">
        <v>15000.0</v>
      </c>
      <c r="F1244" s="190"/>
      <c r="G1244" s="210">
        <f t="shared" si="4"/>
        <v>15000</v>
      </c>
      <c r="H1244" s="94"/>
      <c r="I1244" s="94"/>
      <c r="J1244" s="94"/>
      <c r="K1244" s="94"/>
    </row>
    <row r="1245" ht="22.5" customHeight="1">
      <c r="A1245" s="37">
        <v>1243.0</v>
      </c>
      <c r="B1245" s="214" t="s">
        <v>1018</v>
      </c>
      <c r="C1245" s="190"/>
      <c r="D1245" s="212">
        <v>46106.0</v>
      </c>
      <c r="E1245" s="213">
        <v>140000.0</v>
      </c>
      <c r="F1245" s="190"/>
      <c r="G1245" s="210">
        <f t="shared" si="4"/>
        <v>140000</v>
      </c>
      <c r="H1245" s="94"/>
      <c r="I1245" s="94"/>
      <c r="J1245" s="94"/>
      <c r="K1245" s="94"/>
    </row>
    <row r="1246" ht="22.5" customHeight="1">
      <c r="A1246" s="55">
        <v>1244.0</v>
      </c>
      <c r="B1246" s="214" t="s">
        <v>1019</v>
      </c>
      <c r="C1246" s="190"/>
      <c r="D1246" s="212">
        <v>46107.0</v>
      </c>
      <c r="E1246" s="213">
        <v>40000.0</v>
      </c>
      <c r="F1246" s="190"/>
      <c r="G1246" s="210">
        <f t="shared" si="4"/>
        <v>40000</v>
      </c>
      <c r="H1246" s="94"/>
      <c r="I1246" s="94"/>
      <c r="J1246" s="94"/>
      <c r="K1246" s="94"/>
    </row>
    <row r="1247" ht="22.5" customHeight="1">
      <c r="A1247" s="37">
        <v>1245.0</v>
      </c>
      <c r="B1247" s="214" t="s">
        <v>1010</v>
      </c>
      <c r="C1247" s="190"/>
      <c r="D1247" s="212">
        <v>46107.0</v>
      </c>
      <c r="E1247" s="213">
        <v>20000.0</v>
      </c>
      <c r="F1247" s="190"/>
      <c r="G1247" s="210">
        <f t="shared" si="4"/>
        <v>20000</v>
      </c>
      <c r="H1247" s="94"/>
      <c r="I1247" s="94"/>
      <c r="J1247" s="94"/>
      <c r="K1247" s="94"/>
    </row>
    <row r="1248" ht="22.5" customHeight="1">
      <c r="A1248" s="55">
        <v>1246.0</v>
      </c>
      <c r="B1248" s="214" t="s">
        <v>886</v>
      </c>
      <c r="C1248" s="190"/>
      <c r="D1248" s="212">
        <v>46107.0</v>
      </c>
      <c r="E1248" s="213">
        <v>6000.0</v>
      </c>
      <c r="F1248" s="190"/>
      <c r="G1248" s="210">
        <f t="shared" si="4"/>
        <v>6000</v>
      </c>
      <c r="H1248" s="94"/>
      <c r="I1248" s="94"/>
      <c r="J1248" s="94"/>
      <c r="K1248" s="94"/>
    </row>
    <row r="1249" ht="22.5" customHeight="1">
      <c r="A1249" s="37">
        <v>1247.0</v>
      </c>
      <c r="B1249" s="214" t="s">
        <v>225</v>
      </c>
      <c r="C1249" s="190"/>
      <c r="D1249" s="212">
        <v>46107.0</v>
      </c>
      <c r="E1249" s="213">
        <v>20000.0</v>
      </c>
      <c r="F1249" s="190"/>
      <c r="G1249" s="210">
        <f t="shared" si="4"/>
        <v>20000</v>
      </c>
      <c r="H1249" s="94"/>
      <c r="I1249" s="94"/>
      <c r="J1249" s="94"/>
      <c r="K1249" s="94"/>
    </row>
    <row r="1250" ht="22.5" customHeight="1">
      <c r="A1250" s="55">
        <v>1248.0</v>
      </c>
      <c r="B1250" s="214" t="s">
        <v>876</v>
      </c>
      <c r="C1250" s="190"/>
      <c r="D1250" s="212">
        <v>46107.0</v>
      </c>
      <c r="E1250" s="213">
        <v>15000.0</v>
      </c>
      <c r="F1250" s="190"/>
      <c r="G1250" s="210">
        <f t="shared" si="4"/>
        <v>15000</v>
      </c>
      <c r="H1250" s="94"/>
      <c r="I1250" s="94"/>
      <c r="J1250" s="94"/>
      <c r="K1250" s="94"/>
    </row>
    <row r="1251" ht="22.5" customHeight="1">
      <c r="A1251" s="37">
        <v>1249.0</v>
      </c>
      <c r="B1251" s="214" t="s">
        <v>109</v>
      </c>
      <c r="C1251" s="190"/>
      <c r="D1251" s="212">
        <v>46108.0</v>
      </c>
      <c r="E1251" s="213">
        <v>7307.0</v>
      </c>
      <c r="F1251" s="190"/>
      <c r="G1251" s="210">
        <f t="shared" si="4"/>
        <v>7307</v>
      </c>
      <c r="H1251" s="94"/>
      <c r="I1251" s="94"/>
      <c r="J1251" s="94"/>
      <c r="K1251" s="94"/>
    </row>
    <row r="1252" ht="22.5" customHeight="1">
      <c r="A1252" s="55">
        <v>1250.0</v>
      </c>
      <c r="B1252" s="214" t="s">
        <v>1012</v>
      </c>
      <c r="C1252" s="190"/>
      <c r="D1252" s="212">
        <v>46108.0</v>
      </c>
      <c r="E1252" s="213">
        <v>380000.0</v>
      </c>
      <c r="F1252" s="190"/>
      <c r="G1252" s="210">
        <f t="shared" si="4"/>
        <v>380000</v>
      </c>
      <c r="H1252" s="94"/>
      <c r="I1252" s="94"/>
      <c r="J1252" s="94"/>
      <c r="K1252" s="94"/>
    </row>
    <row r="1253" ht="22.5" customHeight="1">
      <c r="A1253" s="37">
        <v>1251.0</v>
      </c>
      <c r="B1253" s="214" t="s">
        <v>109</v>
      </c>
      <c r="C1253" s="190"/>
      <c r="D1253" s="212">
        <v>46108.0</v>
      </c>
      <c r="E1253" s="213">
        <v>6623.48</v>
      </c>
      <c r="F1253" s="190"/>
      <c r="G1253" s="210">
        <f t="shared" si="4"/>
        <v>6623.48</v>
      </c>
      <c r="H1253" s="94"/>
      <c r="I1253" s="94"/>
      <c r="J1253" s="94"/>
      <c r="K1253" s="94"/>
    </row>
    <row r="1254" ht="22.5" customHeight="1">
      <c r="A1254" s="55">
        <v>1252.0</v>
      </c>
      <c r="B1254" s="214" t="s">
        <v>225</v>
      </c>
      <c r="C1254" s="190"/>
      <c r="D1254" s="212">
        <v>46108.0</v>
      </c>
      <c r="E1254" s="213">
        <v>30000.0</v>
      </c>
      <c r="F1254" s="190"/>
      <c r="G1254" s="210">
        <f t="shared" si="4"/>
        <v>30000</v>
      </c>
      <c r="H1254" s="94"/>
      <c r="I1254" s="94"/>
      <c r="J1254" s="94"/>
      <c r="K1254" s="94"/>
    </row>
    <row r="1255" ht="22.5" customHeight="1">
      <c r="A1255" s="37">
        <v>1253.0</v>
      </c>
      <c r="B1255" s="214" t="s">
        <v>1020</v>
      </c>
      <c r="C1255" s="190"/>
      <c r="D1255" s="212">
        <v>46108.0</v>
      </c>
      <c r="E1255" s="213">
        <v>25000.0</v>
      </c>
      <c r="F1255" s="190"/>
      <c r="G1255" s="210">
        <f t="shared" si="4"/>
        <v>25000</v>
      </c>
      <c r="H1255" s="94"/>
      <c r="I1255" s="94"/>
      <c r="J1255" s="94"/>
      <c r="K1255" s="94"/>
    </row>
    <row r="1256" ht="22.5" customHeight="1">
      <c r="A1256" s="55">
        <v>1254.0</v>
      </c>
      <c r="B1256" s="214" t="s">
        <v>1021</v>
      </c>
      <c r="C1256" s="190"/>
      <c r="D1256" s="212">
        <v>46108.0</v>
      </c>
      <c r="E1256" s="213">
        <v>27500.0</v>
      </c>
      <c r="F1256" s="190"/>
      <c r="G1256" s="210">
        <f t="shared" si="4"/>
        <v>27500</v>
      </c>
      <c r="H1256" s="94"/>
      <c r="I1256" s="94"/>
      <c r="J1256" s="94"/>
      <c r="K1256" s="94"/>
    </row>
    <row r="1257" ht="22.5" customHeight="1">
      <c r="A1257" s="37">
        <v>1255.0</v>
      </c>
      <c r="B1257" s="214" t="s">
        <v>1022</v>
      </c>
      <c r="C1257" s="190"/>
      <c r="D1257" s="212">
        <v>46108.0</v>
      </c>
      <c r="E1257" s="213">
        <v>10000.0</v>
      </c>
      <c r="F1257" s="190"/>
      <c r="G1257" s="210">
        <f t="shared" si="4"/>
        <v>10000</v>
      </c>
      <c r="H1257" s="94"/>
      <c r="I1257" s="94"/>
      <c r="J1257" s="94"/>
      <c r="K1257" s="94"/>
    </row>
    <row r="1258" ht="22.5" customHeight="1">
      <c r="A1258" s="55">
        <v>1256.0</v>
      </c>
      <c r="B1258" s="214" t="s">
        <v>1023</v>
      </c>
      <c r="C1258" s="190"/>
      <c r="D1258" s="212">
        <v>46108.0</v>
      </c>
      <c r="E1258" s="213">
        <v>10000.0</v>
      </c>
      <c r="F1258" s="190"/>
      <c r="G1258" s="210">
        <f t="shared" si="4"/>
        <v>10000</v>
      </c>
      <c r="H1258" s="94"/>
      <c r="I1258" s="94"/>
      <c r="J1258" s="94"/>
      <c r="K1258" s="94"/>
    </row>
    <row r="1259" ht="22.5" customHeight="1">
      <c r="A1259" s="37">
        <v>1257.0</v>
      </c>
      <c r="B1259" s="214" t="s">
        <v>109</v>
      </c>
      <c r="C1259" s="190"/>
      <c r="D1259" s="212">
        <v>46108.0</v>
      </c>
      <c r="E1259" s="213">
        <v>5553.0</v>
      </c>
      <c r="F1259" s="190"/>
      <c r="G1259" s="210">
        <f t="shared" si="4"/>
        <v>5553</v>
      </c>
      <c r="H1259" s="94"/>
      <c r="I1259" s="94"/>
      <c r="J1259" s="94"/>
      <c r="K1259" s="94"/>
    </row>
    <row r="1260" ht="22.5" customHeight="1">
      <c r="A1260" s="55">
        <v>1258.0</v>
      </c>
      <c r="B1260" s="214" t="s">
        <v>1020</v>
      </c>
      <c r="C1260" s="190"/>
      <c r="D1260" s="212">
        <v>46109.0</v>
      </c>
      <c r="E1260" s="213">
        <v>18000.0</v>
      </c>
      <c r="F1260" s="190"/>
      <c r="G1260" s="210">
        <f t="shared" si="4"/>
        <v>18000</v>
      </c>
      <c r="H1260" s="94"/>
      <c r="I1260" s="94"/>
      <c r="J1260" s="94"/>
      <c r="K1260" s="94"/>
    </row>
    <row r="1261" ht="22.5" customHeight="1">
      <c r="A1261" s="37">
        <v>1259.0</v>
      </c>
      <c r="B1261" s="214" t="s">
        <v>1019</v>
      </c>
      <c r="C1261" s="190"/>
      <c r="D1261" s="212">
        <v>46109.0</v>
      </c>
      <c r="E1261" s="213">
        <v>20000.0</v>
      </c>
      <c r="F1261" s="190"/>
      <c r="G1261" s="210">
        <f t="shared" si="4"/>
        <v>20000</v>
      </c>
      <c r="H1261" s="94"/>
      <c r="I1261" s="94"/>
      <c r="J1261" s="94"/>
      <c r="K1261" s="94"/>
    </row>
    <row r="1262" ht="22.5" customHeight="1">
      <c r="A1262" s="55">
        <v>1260.0</v>
      </c>
      <c r="B1262" s="214" t="s">
        <v>41</v>
      </c>
      <c r="C1262" s="190"/>
      <c r="D1262" s="212">
        <v>46109.0</v>
      </c>
      <c r="E1262" s="213">
        <v>26985.0</v>
      </c>
      <c r="F1262" s="190"/>
      <c r="G1262" s="210">
        <f t="shared" si="4"/>
        <v>26985</v>
      </c>
      <c r="H1262" s="94"/>
      <c r="I1262" s="94"/>
      <c r="J1262" s="94"/>
      <c r="K1262" s="94"/>
    </row>
    <row r="1263" ht="22.5" customHeight="1">
      <c r="A1263" s="37">
        <v>1261.0</v>
      </c>
      <c r="B1263" s="214" t="s">
        <v>987</v>
      </c>
      <c r="C1263" s="190"/>
      <c r="D1263" s="212">
        <v>46109.0</v>
      </c>
      <c r="E1263" s="213">
        <v>10600.0</v>
      </c>
      <c r="F1263" s="190"/>
      <c r="G1263" s="210">
        <f t="shared" si="4"/>
        <v>10600</v>
      </c>
      <c r="H1263" s="94"/>
      <c r="I1263" s="94"/>
      <c r="J1263" s="94"/>
      <c r="K1263" s="94"/>
    </row>
    <row r="1264" ht="22.5" customHeight="1">
      <c r="A1264" s="55">
        <v>1262.0</v>
      </c>
      <c r="B1264" s="214" t="s">
        <v>1024</v>
      </c>
      <c r="C1264" s="190"/>
      <c r="D1264" s="212">
        <v>46109.0</v>
      </c>
      <c r="E1264" s="213">
        <v>25000.0</v>
      </c>
      <c r="F1264" s="190"/>
      <c r="G1264" s="210">
        <f t="shared" si="4"/>
        <v>25000</v>
      </c>
      <c r="H1264" s="94"/>
      <c r="I1264" s="94"/>
      <c r="J1264" s="94"/>
      <c r="K1264" s="94"/>
    </row>
    <row r="1265" ht="22.5" customHeight="1">
      <c r="A1265" s="37">
        <v>1263.0</v>
      </c>
      <c r="B1265" s="214" t="s">
        <v>991</v>
      </c>
      <c r="C1265" s="190"/>
      <c r="D1265" s="212">
        <v>46109.0</v>
      </c>
      <c r="E1265" s="213">
        <v>5364.0</v>
      </c>
      <c r="F1265" s="190"/>
      <c r="G1265" s="210">
        <f t="shared" si="4"/>
        <v>5364</v>
      </c>
      <c r="H1265" s="94"/>
      <c r="I1265" s="94"/>
      <c r="J1265" s="94"/>
      <c r="K1265" s="94"/>
    </row>
    <row r="1266" ht="22.5" customHeight="1">
      <c r="A1266" s="55">
        <v>1264.0</v>
      </c>
      <c r="B1266" s="214" t="s">
        <v>1025</v>
      </c>
      <c r="C1266" s="190"/>
      <c r="D1266" s="212">
        <v>46109.0</v>
      </c>
      <c r="E1266" s="213">
        <v>37040.0</v>
      </c>
      <c r="F1266" s="190"/>
      <c r="G1266" s="210">
        <f t="shared" si="4"/>
        <v>37040</v>
      </c>
      <c r="H1266" s="94"/>
      <c r="I1266" s="94"/>
      <c r="J1266" s="94"/>
      <c r="K1266" s="94"/>
    </row>
    <row r="1267" ht="22.5" customHeight="1">
      <c r="A1267" s="37">
        <v>1265.0</v>
      </c>
      <c r="B1267" s="214" t="s">
        <v>936</v>
      </c>
      <c r="C1267" s="190"/>
      <c r="D1267" s="212">
        <v>46109.0</v>
      </c>
      <c r="E1267" s="213">
        <v>40000.0</v>
      </c>
      <c r="F1267" s="190"/>
      <c r="G1267" s="210">
        <f t="shared" si="4"/>
        <v>40000</v>
      </c>
      <c r="H1267" s="94"/>
      <c r="I1267" s="94"/>
      <c r="J1267" s="94"/>
      <c r="K1267" s="94"/>
    </row>
    <row r="1268" ht="22.5" customHeight="1">
      <c r="A1268" s="55">
        <v>1266.0</v>
      </c>
      <c r="B1268" s="214" t="s">
        <v>1012</v>
      </c>
      <c r="C1268" s="190"/>
      <c r="D1268" s="212">
        <v>46109.0</v>
      </c>
      <c r="E1268" s="213">
        <v>185000.0</v>
      </c>
      <c r="F1268" s="190"/>
      <c r="G1268" s="210">
        <f t="shared" si="4"/>
        <v>185000</v>
      </c>
      <c r="H1268" s="94"/>
      <c r="I1268" s="94"/>
      <c r="J1268" s="94"/>
      <c r="K1268" s="94"/>
    </row>
    <row r="1269" ht="22.5" customHeight="1">
      <c r="A1269" s="37">
        <v>1267.0</v>
      </c>
      <c r="B1269" s="214" t="s">
        <v>1021</v>
      </c>
      <c r="C1269" s="190"/>
      <c r="D1269" s="212">
        <v>46109.0</v>
      </c>
      <c r="E1269" s="213">
        <v>27500.0</v>
      </c>
      <c r="F1269" s="190"/>
      <c r="G1269" s="210">
        <f t="shared" si="4"/>
        <v>27500</v>
      </c>
      <c r="H1269" s="94"/>
      <c r="I1269" s="94"/>
      <c r="J1269" s="94"/>
      <c r="K1269" s="94"/>
    </row>
    <row r="1270" ht="22.5" customHeight="1">
      <c r="A1270" s="55">
        <v>1268.0</v>
      </c>
      <c r="B1270" s="214" t="s">
        <v>1021</v>
      </c>
      <c r="C1270" s="190"/>
      <c r="D1270" s="212">
        <v>46109.0</v>
      </c>
      <c r="E1270" s="213">
        <v>7500.0</v>
      </c>
      <c r="F1270" s="190"/>
      <c r="G1270" s="210">
        <f t="shared" si="4"/>
        <v>7500</v>
      </c>
      <c r="H1270" s="94"/>
      <c r="I1270" s="94"/>
      <c r="J1270" s="94"/>
      <c r="K1270" s="94"/>
    </row>
    <row r="1271" ht="22.5" customHeight="1">
      <c r="A1271" s="37">
        <v>1269.0</v>
      </c>
      <c r="B1271" s="214" t="s">
        <v>359</v>
      </c>
      <c r="C1271" s="190"/>
      <c r="D1271" s="212">
        <v>46109.0</v>
      </c>
      <c r="E1271" s="213">
        <v>15000.0</v>
      </c>
      <c r="F1271" s="190"/>
      <c r="G1271" s="210">
        <f t="shared" si="4"/>
        <v>15000</v>
      </c>
      <c r="H1271" s="94"/>
      <c r="I1271" s="94"/>
      <c r="J1271" s="94"/>
      <c r="K1271" s="94"/>
    </row>
    <row r="1272" ht="22.5" customHeight="1">
      <c r="A1272" s="55">
        <v>1270.0</v>
      </c>
      <c r="B1272" s="214" t="s">
        <v>1026</v>
      </c>
      <c r="C1272" s="190"/>
      <c r="D1272" s="212">
        <v>46109.0</v>
      </c>
      <c r="E1272" s="213">
        <v>7500.0</v>
      </c>
      <c r="F1272" s="190"/>
      <c r="G1272" s="210">
        <f t="shared" si="4"/>
        <v>7500</v>
      </c>
      <c r="H1272" s="94"/>
      <c r="I1272" s="94"/>
      <c r="J1272" s="94"/>
      <c r="K1272" s="94"/>
    </row>
    <row r="1273" ht="22.5" customHeight="1">
      <c r="A1273" s="37">
        <v>1271.0</v>
      </c>
      <c r="B1273" s="214" t="s">
        <v>1027</v>
      </c>
      <c r="C1273" s="190"/>
      <c r="D1273" s="212">
        <v>46109.0</v>
      </c>
      <c r="E1273" s="213">
        <v>7500.0</v>
      </c>
      <c r="F1273" s="190"/>
      <c r="G1273" s="210">
        <f t="shared" si="4"/>
        <v>7500</v>
      </c>
      <c r="H1273" s="94"/>
      <c r="I1273" s="94"/>
      <c r="J1273" s="94"/>
      <c r="K1273" s="94"/>
    </row>
    <row r="1274" ht="22.5" customHeight="1">
      <c r="A1274" s="55">
        <v>1272.0</v>
      </c>
      <c r="B1274" s="214" t="s">
        <v>1028</v>
      </c>
      <c r="C1274" s="190"/>
      <c r="D1274" s="212">
        <v>46109.0</v>
      </c>
      <c r="E1274" s="213">
        <v>26500.0</v>
      </c>
      <c r="F1274" s="190"/>
      <c r="G1274" s="210">
        <f t="shared" si="4"/>
        <v>26500</v>
      </c>
      <c r="H1274" s="94"/>
      <c r="I1274" s="94"/>
      <c r="J1274" s="94"/>
      <c r="K1274" s="94"/>
    </row>
    <row r="1275" ht="22.5" customHeight="1">
      <c r="A1275" s="37">
        <v>1273.0</v>
      </c>
      <c r="B1275" s="214" t="s">
        <v>1021</v>
      </c>
      <c r="C1275" s="190"/>
      <c r="D1275" s="212">
        <v>46109.0</v>
      </c>
      <c r="E1275" s="213">
        <v>8000.0</v>
      </c>
      <c r="F1275" s="190"/>
      <c r="G1275" s="210">
        <f t="shared" si="4"/>
        <v>8000</v>
      </c>
      <c r="H1275" s="94"/>
      <c r="I1275" s="94"/>
      <c r="J1275" s="94"/>
      <c r="K1275" s="94"/>
    </row>
    <row r="1276" ht="22.5" customHeight="1">
      <c r="A1276" s="55">
        <v>1274.0</v>
      </c>
      <c r="B1276" s="214" t="s">
        <v>109</v>
      </c>
      <c r="C1276" s="190"/>
      <c r="D1276" s="212">
        <v>46110.0</v>
      </c>
      <c r="E1276" s="213">
        <v>4007.77</v>
      </c>
      <c r="F1276" s="190"/>
      <c r="G1276" s="210">
        <f t="shared" si="4"/>
        <v>4007.77</v>
      </c>
      <c r="H1276" s="94"/>
      <c r="I1276" s="94"/>
      <c r="J1276" s="94"/>
      <c r="K1276" s="94"/>
    </row>
    <row r="1277" ht="22.5" customHeight="1">
      <c r="A1277" s="37">
        <v>1275.0</v>
      </c>
      <c r="B1277" s="214" t="s">
        <v>109</v>
      </c>
      <c r="C1277" s="190"/>
      <c r="D1277" s="212">
        <v>46110.0</v>
      </c>
      <c r="E1277" s="213">
        <v>7082.0</v>
      </c>
      <c r="F1277" s="190"/>
      <c r="G1277" s="210">
        <f t="shared" si="4"/>
        <v>7082</v>
      </c>
      <c r="H1277" s="94"/>
      <c r="I1277" s="94"/>
      <c r="J1277" s="94"/>
      <c r="K1277" s="94"/>
    </row>
    <row r="1278" ht="22.5" customHeight="1">
      <c r="A1278" s="55">
        <v>1276.0</v>
      </c>
      <c r="B1278" s="214" t="s">
        <v>109</v>
      </c>
      <c r="C1278" s="190"/>
      <c r="D1278" s="212">
        <v>46110.0</v>
      </c>
      <c r="E1278" s="213">
        <v>6592.0</v>
      </c>
      <c r="F1278" s="190"/>
      <c r="G1278" s="210">
        <f t="shared" si="4"/>
        <v>6592</v>
      </c>
      <c r="H1278" s="94"/>
      <c r="I1278" s="94"/>
      <c r="J1278" s="94"/>
      <c r="K1278" s="94"/>
    </row>
    <row r="1279" ht="22.5" customHeight="1">
      <c r="A1279" s="37">
        <v>1277.0</v>
      </c>
      <c r="B1279" s="214" t="s">
        <v>1029</v>
      </c>
      <c r="C1279" s="190"/>
      <c r="D1279" s="212">
        <v>46111.0</v>
      </c>
      <c r="E1279" s="213">
        <v>11653.38</v>
      </c>
      <c r="F1279" s="190"/>
      <c r="G1279" s="210">
        <f t="shared" si="4"/>
        <v>11653.38</v>
      </c>
      <c r="H1279" s="94"/>
      <c r="I1279" s="94"/>
      <c r="J1279" s="94"/>
      <c r="K1279" s="94"/>
    </row>
    <row r="1280" ht="22.5" customHeight="1">
      <c r="A1280" s="55">
        <v>1278.0</v>
      </c>
      <c r="B1280" s="214" t="s">
        <v>1020</v>
      </c>
      <c r="C1280" s="190"/>
      <c r="D1280" s="212">
        <v>46111.0</v>
      </c>
      <c r="E1280" s="213">
        <v>4100.0</v>
      </c>
      <c r="F1280" s="190"/>
      <c r="G1280" s="210">
        <f t="shared" si="4"/>
        <v>4100</v>
      </c>
      <c r="H1280" s="94"/>
      <c r="I1280" s="94"/>
      <c r="J1280" s="94"/>
      <c r="K1280" s="94"/>
    </row>
    <row r="1281" ht="22.5" customHeight="1">
      <c r="A1281" s="37">
        <v>1279.0</v>
      </c>
      <c r="B1281" s="214" t="s">
        <v>1012</v>
      </c>
      <c r="C1281" s="190"/>
      <c r="D1281" s="212">
        <v>46111.0</v>
      </c>
      <c r="E1281" s="213">
        <v>380000.0</v>
      </c>
      <c r="F1281" s="190"/>
      <c r="G1281" s="210">
        <f t="shared" si="4"/>
        <v>380000</v>
      </c>
      <c r="H1281" s="94"/>
      <c r="I1281" s="94"/>
      <c r="J1281" s="94"/>
      <c r="K1281" s="94"/>
    </row>
    <row r="1282" ht="22.5" customHeight="1">
      <c r="A1282" s="55">
        <v>1280.0</v>
      </c>
      <c r="B1282" s="214" t="s">
        <v>980</v>
      </c>
      <c r="C1282" s="190"/>
      <c r="D1282" s="212">
        <v>46111.0</v>
      </c>
      <c r="E1282" s="213">
        <v>27517.0</v>
      </c>
      <c r="F1282" s="190"/>
      <c r="G1282" s="210">
        <f t="shared" si="4"/>
        <v>27517</v>
      </c>
      <c r="H1282" s="94"/>
      <c r="I1282" s="94"/>
      <c r="J1282" s="94"/>
      <c r="K1282" s="94"/>
    </row>
    <row r="1283" ht="22.5" customHeight="1">
      <c r="A1283" s="37">
        <v>1281.0</v>
      </c>
      <c r="B1283" s="214" t="s">
        <v>991</v>
      </c>
      <c r="C1283" s="190"/>
      <c r="D1283" s="212">
        <v>46111.0</v>
      </c>
      <c r="E1283" s="213">
        <v>2513.0</v>
      </c>
      <c r="F1283" s="190"/>
      <c r="G1283" s="210">
        <f t="shared" si="4"/>
        <v>2513</v>
      </c>
      <c r="H1283" s="94"/>
      <c r="I1283" s="94"/>
      <c r="J1283" s="94"/>
      <c r="K1283" s="94"/>
    </row>
    <row r="1284" ht="22.5" customHeight="1">
      <c r="A1284" s="55">
        <v>1282.0</v>
      </c>
      <c r="B1284" s="214" t="s">
        <v>109</v>
      </c>
      <c r="C1284" s="190"/>
      <c r="D1284" s="212">
        <v>46112.0</v>
      </c>
      <c r="E1284" s="213">
        <v>7077.0</v>
      </c>
      <c r="F1284" s="190"/>
      <c r="G1284" s="210">
        <f t="shared" si="4"/>
        <v>7077</v>
      </c>
      <c r="H1284" s="94"/>
      <c r="I1284" s="94"/>
      <c r="J1284" s="94"/>
      <c r="K1284" s="94"/>
    </row>
    <row r="1285" ht="22.5" customHeight="1">
      <c r="A1285" s="37">
        <v>1283.0</v>
      </c>
      <c r="B1285" s="214" t="s">
        <v>1030</v>
      </c>
      <c r="C1285" s="190"/>
      <c r="D1285" s="212">
        <v>46112.0</v>
      </c>
      <c r="E1285" s="213">
        <v>46700.0</v>
      </c>
      <c r="F1285" s="190"/>
      <c r="G1285" s="210">
        <f t="shared" si="4"/>
        <v>46700</v>
      </c>
      <c r="H1285" s="94"/>
      <c r="I1285" s="94"/>
      <c r="J1285" s="94"/>
      <c r="K1285" s="94"/>
    </row>
    <row r="1286" ht="22.5" customHeight="1">
      <c r="A1286" s="55">
        <v>1284.0</v>
      </c>
      <c r="B1286" s="214" t="s">
        <v>1020</v>
      </c>
      <c r="C1286" s="190"/>
      <c r="D1286" s="212">
        <v>46112.0</v>
      </c>
      <c r="E1286" s="213">
        <v>71600.0</v>
      </c>
      <c r="F1286" s="190"/>
      <c r="G1286" s="210">
        <f t="shared" si="4"/>
        <v>71600</v>
      </c>
      <c r="H1286" s="94"/>
      <c r="I1286" s="94"/>
      <c r="J1286" s="94"/>
      <c r="K1286" s="94"/>
    </row>
    <row r="1287" ht="22.5" customHeight="1">
      <c r="A1287" s="37">
        <v>1285.0</v>
      </c>
      <c r="B1287" s="214" t="s">
        <v>109</v>
      </c>
      <c r="C1287" s="190"/>
      <c r="D1287" s="212">
        <v>46112.0</v>
      </c>
      <c r="E1287" s="213">
        <v>12441.35</v>
      </c>
      <c r="F1287" s="190"/>
      <c r="G1287" s="210">
        <f t="shared" si="4"/>
        <v>12441.35</v>
      </c>
      <c r="H1287" s="94"/>
      <c r="I1287" s="94"/>
      <c r="J1287" s="94"/>
      <c r="K1287" s="94"/>
    </row>
    <row r="1288" ht="22.5" customHeight="1">
      <c r="A1288" s="55">
        <v>1286.0</v>
      </c>
      <c r="B1288" s="214" t="s">
        <v>109</v>
      </c>
      <c r="C1288" s="190"/>
      <c r="D1288" s="212">
        <v>46112.0</v>
      </c>
      <c r="E1288" s="213">
        <v>6762.0</v>
      </c>
      <c r="F1288" s="190"/>
      <c r="G1288" s="210">
        <f t="shared" si="4"/>
        <v>6762</v>
      </c>
      <c r="H1288" s="94"/>
      <c r="I1288" s="94"/>
      <c r="J1288" s="94"/>
      <c r="K1288" s="94"/>
    </row>
    <row r="1289" ht="22.5" customHeight="1">
      <c r="A1289" s="37">
        <v>1287.0</v>
      </c>
      <c r="B1289" s="214" t="s">
        <v>362</v>
      </c>
      <c r="C1289" s="190"/>
      <c r="D1289" s="212">
        <v>46112.0</v>
      </c>
      <c r="E1289" s="213">
        <v>65060.0</v>
      </c>
      <c r="F1289" s="190"/>
      <c r="G1289" s="210">
        <f t="shared" si="4"/>
        <v>65060</v>
      </c>
      <c r="H1289" s="94"/>
      <c r="I1289" s="94"/>
      <c r="J1289" s="94"/>
      <c r="K1289" s="94"/>
    </row>
    <row r="1290" ht="22.5" customHeight="1">
      <c r="A1290" s="55">
        <v>1288.0</v>
      </c>
      <c r="B1290" s="214" t="s">
        <v>940</v>
      </c>
      <c r="C1290" s="190"/>
      <c r="D1290" s="212">
        <v>46112.0</v>
      </c>
      <c r="E1290" s="213">
        <v>10400.0</v>
      </c>
      <c r="F1290" s="190"/>
      <c r="G1290" s="210">
        <f t="shared" si="4"/>
        <v>10400</v>
      </c>
      <c r="H1290" s="94"/>
      <c r="I1290" s="94"/>
      <c r="J1290" s="94"/>
      <c r="K1290" s="94"/>
    </row>
    <row r="1291" ht="22.5" customHeight="1">
      <c r="A1291" s="37">
        <v>1289.0</v>
      </c>
      <c r="B1291" s="214" t="s">
        <v>1031</v>
      </c>
      <c r="C1291" s="190"/>
      <c r="D1291" s="212">
        <v>46112.0</v>
      </c>
      <c r="E1291" s="213">
        <v>994.0</v>
      </c>
      <c r="F1291" s="190"/>
      <c r="G1291" s="210">
        <f t="shared" si="4"/>
        <v>994</v>
      </c>
      <c r="H1291" s="94"/>
      <c r="I1291" s="94"/>
      <c r="J1291" s="94"/>
      <c r="K1291" s="94"/>
    </row>
    <row r="1292" ht="22.5" customHeight="1">
      <c r="A1292" s="55">
        <v>1290.0</v>
      </c>
      <c r="B1292" s="214" t="s">
        <v>723</v>
      </c>
      <c r="C1292" s="190"/>
      <c r="D1292" s="212">
        <v>46112.0</v>
      </c>
      <c r="E1292" s="213">
        <v>12051.0</v>
      </c>
      <c r="F1292" s="190"/>
      <c r="G1292" s="210">
        <f t="shared" si="4"/>
        <v>12051</v>
      </c>
      <c r="H1292" s="94"/>
      <c r="I1292" s="94"/>
      <c r="J1292" s="94"/>
      <c r="K1292" s="94"/>
    </row>
    <row r="1293" ht="22.5" customHeight="1">
      <c r="A1293" s="37">
        <v>1291.0</v>
      </c>
      <c r="B1293" s="214" t="s">
        <v>1032</v>
      </c>
      <c r="C1293" s="190"/>
      <c r="D1293" s="212">
        <v>46112.0</v>
      </c>
      <c r="E1293" s="213">
        <v>24000.0</v>
      </c>
      <c r="F1293" s="190"/>
      <c r="G1293" s="210">
        <f t="shared" si="4"/>
        <v>24000</v>
      </c>
      <c r="H1293" s="94"/>
      <c r="I1293" s="94"/>
      <c r="J1293" s="94"/>
      <c r="K1293" s="94"/>
    </row>
    <row r="1294" ht="22.5" customHeight="1">
      <c r="A1294" s="55">
        <v>1292.0</v>
      </c>
      <c r="B1294" s="214" t="s">
        <v>225</v>
      </c>
      <c r="C1294" s="190"/>
      <c r="D1294" s="212">
        <v>46112.0</v>
      </c>
      <c r="E1294" s="213">
        <v>61034.0</v>
      </c>
      <c r="F1294" s="190"/>
      <c r="G1294" s="210">
        <f t="shared" si="4"/>
        <v>61034</v>
      </c>
      <c r="H1294" s="94"/>
      <c r="I1294" s="94"/>
      <c r="J1294" s="94"/>
      <c r="K1294" s="94"/>
    </row>
    <row r="1295" ht="22.5" customHeight="1">
      <c r="A1295" s="37">
        <v>1293.0</v>
      </c>
      <c r="B1295" s="214" t="s">
        <v>1033</v>
      </c>
      <c r="C1295" s="190"/>
      <c r="D1295" s="212">
        <v>46112.0</v>
      </c>
      <c r="E1295" s="213">
        <v>48000.0</v>
      </c>
      <c r="F1295" s="190"/>
      <c r="G1295" s="210">
        <f t="shared" si="4"/>
        <v>48000</v>
      </c>
      <c r="H1295" s="94"/>
      <c r="I1295" s="94"/>
      <c r="J1295" s="94"/>
      <c r="K1295" s="94"/>
    </row>
    <row r="1296" ht="22.5" customHeight="1">
      <c r="A1296" s="55">
        <v>1294.0</v>
      </c>
      <c r="B1296" s="214" t="s">
        <v>847</v>
      </c>
      <c r="C1296" s="190"/>
      <c r="D1296" s="212">
        <v>46112.0</v>
      </c>
      <c r="E1296" s="213">
        <v>50000.0</v>
      </c>
      <c r="F1296" s="190"/>
      <c r="G1296" s="210">
        <f t="shared" si="4"/>
        <v>50000</v>
      </c>
      <c r="H1296" s="94"/>
      <c r="I1296" s="94"/>
      <c r="J1296" s="94"/>
      <c r="K1296" s="94"/>
    </row>
    <row r="1297">
      <c r="A1297" s="45" t="s">
        <v>1034</v>
      </c>
      <c r="B1297" s="222" t="s">
        <v>130</v>
      </c>
      <c r="C1297" s="223"/>
      <c r="D1297" s="224"/>
      <c r="E1297" s="225">
        <f t="shared" ref="E1297:G1297" si="5">SUM(E2:E1296)</f>
        <v>46779245.4</v>
      </c>
      <c r="F1297" s="225">
        <f t="shared" si="5"/>
        <v>96521</v>
      </c>
      <c r="G1297" s="225">
        <f t="shared" si="5"/>
        <v>46620071.4</v>
      </c>
      <c r="H1297" s="226"/>
      <c r="I1297" s="226"/>
      <c r="J1297" s="226"/>
      <c r="K1297" s="226"/>
    </row>
    <row r="1298">
      <c r="G1298" s="105"/>
    </row>
    <row r="1299">
      <c r="G1299" s="105"/>
    </row>
    <row r="1300">
      <c r="G1300" s="105"/>
    </row>
    <row r="1301">
      <c r="G1301" s="105"/>
    </row>
    <row r="1302">
      <c r="G1302" s="105"/>
    </row>
    <row r="1303">
      <c r="G1303" s="105"/>
    </row>
    <row r="1304">
      <c r="G1304" s="105"/>
    </row>
    <row r="1305">
      <c r="G1305" s="105"/>
    </row>
    <row r="1306">
      <c r="G1306" s="105"/>
    </row>
    <row r="1307">
      <c r="G1307" s="105"/>
    </row>
    <row r="1308">
      <c r="G1308" s="105"/>
    </row>
    <row r="1309">
      <c r="G1309" s="105"/>
    </row>
    <row r="1311">
      <c r="G1311" s="105"/>
    </row>
    <row r="1312">
      <c r="G1312" s="105"/>
    </row>
    <row r="1313">
      <c r="G1313" s="105"/>
    </row>
    <row r="1314">
      <c r="G1314" s="105"/>
    </row>
    <row r="1315">
      <c r="G1315" s="105"/>
    </row>
    <row r="1316">
      <c r="G1316" s="105"/>
    </row>
    <row r="1317">
      <c r="G1317" s="105"/>
    </row>
    <row r="1318">
      <c r="G1318" s="105"/>
    </row>
    <row r="1319">
      <c r="G1319" s="105"/>
    </row>
    <row r="1320">
      <c r="G1320" s="105"/>
    </row>
    <row r="1321">
      <c r="G1321" s="105"/>
    </row>
    <row r="1322">
      <c r="G1322" s="105"/>
    </row>
    <row r="1323">
      <c r="G1323" s="105"/>
    </row>
    <row r="1324">
      <c r="G1324" s="105"/>
    </row>
    <row r="1325">
      <c r="G1325" s="105"/>
    </row>
    <row r="1326">
      <c r="G1326" s="105"/>
    </row>
    <row r="1327">
      <c r="G1327" s="105"/>
    </row>
    <row r="1328">
      <c r="G1328" s="105"/>
    </row>
    <row r="1329">
      <c r="G1329" s="105"/>
    </row>
    <row r="1330">
      <c r="G1330" s="105"/>
    </row>
    <row r="1331">
      <c r="G1331" s="105"/>
    </row>
    <row r="1332">
      <c r="G1332" s="105"/>
    </row>
    <row r="1333">
      <c r="G1333" s="105"/>
    </row>
    <row r="1334">
      <c r="G1334" s="105"/>
    </row>
    <row r="1335">
      <c r="G1335" s="105"/>
    </row>
    <row r="1336">
      <c r="G1336" s="105"/>
    </row>
    <row r="1337">
      <c r="G1337" s="105"/>
    </row>
    <row r="1338">
      <c r="G1338" s="105"/>
    </row>
    <row r="1339">
      <c r="G1339" s="105"/>
    </row>
    <row r="1340">
      <c r="G1340" s="105"/>
    </row>
    <row r="1341">
      <c r="G1341" s="105"/>
    </row>
    <row r="1342">
      <c r="G1342" s="105"/>
    </row>
    <row r="1343">
      <c r="G1343" s="105"/>
    </row>
    <row r="1344">
      <c r="G1344" s="105"/>
    </row>
    <row r="1345">
      <c r="G1345" s="105"/>
    </row>
    <row r="1346">
      <c r="G1346" s="105"/>
    </row>
    <row r="1347">
      <c r="G1347" s="105"/>
    </row>
    <row r="1348">
      <c r="G1348" s="105"/>
    </row>
    <row r="1349">
      <c r="G1349" s="105"/>
    </row>
    <row r="1350">
      <c r="G1350" s="105"/>
    </row>
    <row r="1351">
      <c r="G1351" s="105"/>
    </row>
    <row r="1352">
      <c r="G1352" s="105"/>
    </row>
    <row r="1353">
      <c r="G1353" s="105"/>
    </row>
    <row r="1354">
      <c r="G1354" s="105"/>
    </row>
    <row r="1355">
      <c r="G1355" s="105"/>
    </row>
    <row r="1356">
      <c r="G1356" s="105"/>
    </row>
    <row r="1357">
      <c r="G1357" s="105"/>
    </row>
    <row r="1358">
      <c r="G1358" s="105"/>
    </row>
    <row r="1359">
      <c r="G1359" s="105"/>
    </row>
    <row r="1360">
      <c r="G1360" s="105"/>
    </row>
    <row r="1361">
      <c r="G1361" s="105"/>
    </row>
    <row r="1362">
      <c r="G1362" s="105"/>
    </row>
    <row r="1363">
      <c r="G1363" s="105"/>
    </row>
    <row r="1364">
      <c r="G1364" s="105"/>
    </row>
    <row r="1365">
      <c r="G1365" s="105"/>
    </row>
    <row r="1366">
      <c r="G1366" s="105"/>
    </row>
    <row r="1367">
      <c r="G1367" s="105"/>
    </row>
    <row r="1368">
      <c r="G1368" s="105"/>
    </row>
    <row r="1369">
      <c r="G1369" s="105"/>
    </row>
    <row r="1370">
      <c r="G1370" s="105"/>
    </row>
    <row r="1371">
      <c r="G1371" s="105"/>
    </row>
    <row r="1372">
      <c r="G1372" s="105"/>
    </row>
    <row r="1373">
      <c r="G1373" s="105"/>
    </row>
    <row r="1374">
      <c r="G1374" s="105"/>
    </row>
    <row r="1375">
      <c r="G1375" s="105"/>
    </row>
    <row r="1376">
      <c r="G1376" s="105"/>
    </row>
    <row r="1377">
      <c r="G1377" s="105"/>
    </row>
    <row r="1378">
      <c r="G1378" s="105"/>
    </row>
    <row r="1379">
      <c r="G1379" s="105"/>
    </row>
    <row r="1380">
      <c r="G1380" s="105"/>
    </row>
    <row r="1381">
      <c r="G1381" s="105"/>
    </row>
    <row r="1382">
      <c r="G1382" s="105"/>
    </row>
    <row r="1383">
      <c r="G1383" s="105"/>
    </row>
    <row r="1384">
      <c r="G1384" s="105"/>
    </row>
    <row r="1385">
      <c r="G1385" s="105"/>
    </row>
    <row r="1386">
      <c r="G1386" s="105"/>
    </row>
    <row r="1387">
      <c r="G1387" s="105"/>
    </row>
    <row r="1388">
      <c r="G1388" s="105"/>
    </row>
    <row r="1389">
      <c r="G1389" s="105"/>
    </row>
    <row r="1390">
      <c r="G1390" s="105"/>
    </row>
    <row r="1391">
      <c r="G1391" s="105"/>
    </row>
    <row r="1392">
      <c r="G1392" s="105"/>
    </row>
    <row r="1393">
      <c r="G1393" s="105"/>
    </row>
    <row r="1394">
      <c r="G1394" s="105"/>
    </row>
    <row r="1395">
      <c r="G1395" s="105"/>
    </row>
    <row r="1396">
      <c r="G1396" s="105"/>
    </row>
    <row r="1397">
      <c r="G1397" s="105"/>
    </row>
    <row r="1398">
      <c r="G1398" s="105"/>
    </row>
    <row r="1399">
      <c r="G1399" s="105"/>
    </row>
    <row r="1400">
      <c r="G1400" s="105"/>
    </row>
    <row r="1401">
      <c r="G1401" s="105"/>
    </row>
    <row r="1402">
      <c r="G1402" s="105"/>
    </row>
    <row r="1403">
      <c r="G1403" s="105"/>
    </row>
    <row r="1404">
      <c r="G1404" s="105"/>
    </row>
    <row r="1405">
      <c r="G1405" s="105"/>
    </row>
    <row r="1406">
      <c r="G1406" s="105"/>
    </row>
    <row r="1407">
      <c r="G1407" s="105"/>
    </row>
    <row r="1408">
      <c r="G1408" s="105"/>
    </row>
    <row r="1409">
      <c r="G1409" s="105"/>
    </row>
    <row r="1410">
      <c r="G1410" s="105"/>
    </row>
    <row r="1411">
      <c r="G1411" s="105"/>
    </row>
    <row r="1412">
      <c r="G1412" s="105"/>
    </row>
    <row r="1413">
      <c r="G1413" s="105"/>
    </row>
    <row r="1414">
      <c r="G1414" s="105"/>
    </row>
    <row r="1415">
      <c r="G1415" s="105"/>
    </row>
    <row r="1416">
      <c r="G1416" s="105"/>
    </row>
    <row r="1417">
      <c r="G1417" s="105"/>
    </row>
    <row r="1418">
      <c r="G1418" s="105"/>
    </row>
    <row r="1419">
      <c r="G1419" s="105"/>
    </row>
    <row r="1420">
      <c r="G1420" s="105"/>
    </row>
    <row r="1421">
      <c r="G1421" s="105"/>
    </row>
    <row r="1422">
      <c r="G1422" s="105"/>
    </row>
    <row r="1423">
      <c r="G1423" s="105"/>
    </row>
    <row r="1424">
      <c r="G1424" s="105"/>
    </row>
    <row r="1425">
      <c r="G1425" s="105"/>
    </row>
    <row r="1426">
      <c r="G1426" s="105"/>
    </row>
    <row r="1427">
      <c r="G1427" s="105"/>
    </row>
    <row r="1428">
      <c r="G1428" s="105"/>
    </row>
    <row r="1429">
      <c r="G1429" s="105"/>
    </row>
    <row r="1430">
      <c r="G1430" s="105"/>
    </row>
    <row r="1431">
      <c r="G1431" s="105"/>
    </row>
    <row r="1432">
      <c r="G1432" s="105"/>
    </row>
    <row r="1433">
      <c r="G1433" s="105"/>
    </row>
    <row r="1434">
      <c r="G1434" s="105"/>
    </row>
    <row r="1435">
      <c r="G1435" s="105"/>
    </row>
    <row r="1436">
      <c r="G1436" s="105"/>
    </row>
    <row r="1437">
      <c r="G1437" s="105"/>
    </row>
    <row r="1438">
      <c r="G1438" s="105"/>
    </row>
    <row r="1439">
      <c r="G1439" s="105"/>
    </row>
    <row r="1440">
      <c r="G1440" s="105"/>
    </row>
    <row r="1441">
      <c r="G1441" s="105"/>
    </row>
    <row r="1442">
      <c r="G1442" s="105"/>
    </row>
    <row r="1443">
      <c r="G1443" s="105"/>
    </row>
    <row r="1444">
      <c r="G1444" s="105"/>
    </row>
    <row r="1445">
      <c r="G1445" s="105"/>
    </row>
    <row r="1446">
      <c r="G1446" s="105"/>
    </row>
    <row r="1447">
      <c r="G1447" s="105"/>
    </row>
    <row r="1448">
      <c r="G1448" s="105"/>
    </row>
    <row r="1449">
      <c r="G1449" s="105"/>
    </row>
    <row r="1450">
      <c r="G1450" s="105"/>
    </row>
    <row r="1451">
      <c r="G1451" s="105"/>
    </row>
    <row r="1452">
      <c r="G1452" s="105"/>
    </row>
    <row r="1453">
      <c r="G1453" s="105"/>
    </row>
    <row r="1454">
      <c r="G1454" s="105"/>
    </row>
    <row r="1455">
      <c r="G1455" s="105"/>
    </row>
    <row r="1456">
      <c r="G1456" s="105"/>
    </row>
    <row r="1457">
      <c r="G1457" s="105"/>
    </row>
    <row r="1458">
      <c r="G1458" s="105"/>
    </row>
    <row r="1459">
      <c r="G1459" s="105"/>
    </row>
    <row r="1460">
      <c r="G1460" s="105"/>
    </row>
    <row r="1461">
      <c r="G1461" s="105"/>
    </row>
    <row r="1462">
      <c r="G1462" s="105"/>
    </row>
    <row r="1463">
      <c r="G1463" s="105"/>
    </row>
    <row r="1464">
      <c r="G1464" s="105"/>
    </row>
    <row r="1465">
      <c r="G1465" s="105"/>
    </row>
    <row r="1466">
      <c r="G1466" s="105"/>
    </row>
    <row r="1467">
      <c r="G1467" s="105"/>
    </row>
    <row r="1468">
      <c r="G1468" s="105"/>
    </row>
    <row r="1469">
      <c r="G1469" s="105"/>
    </row>
    <row r="1470">
      <c r="G1470" s="105"/>
    </row>
    <row r="1471">
      <c r="G1471" s="105"/>
    </row>
    <row r="1472">
      <c r="G1472" s="105"/>
    </row>
    <row r="1473">
      <c r="G1473" s="105"/>
    </row>
    <row r="1474">
      <c r="G1474" s="105"/>
    </row>
    <row r="1475">
      <c r="G1475" s="105"/>
    </row>
    <row r="1476">
      <c r="G1476" s="105"/>
    </row>
    <row r="1477">
      <c r="G1477" s="105"/>
    </row>
    <row r="1478">
      <c r="G1478" s="105"/>
    </row>
    <row r="1479">
      <c r="G1479" s="105"/>
    </row>
    <row r="1480">
      <c r="G1480" s="105"/>
    </row>
    <row r="1481">
      <c r="G1481" s="105"/>
    </row>
    <row r="1482">
      <c r="G1482" s="105"/>
    </row>
    <row r="1483">
      <c r="G1483" s="105"/>
    </row>
    <row r="1484">
      <c r="G1484" s="105"/>
    </row>
    <row r="1485">
      <c r="G1485" s="105"/>
    </row>
    <row r="1486">
      <c r="G1486" s="105"/>
    </row>
    <row r="1487">
      <c r="G1487" s="105"/>
    </row>
    <row r="1488">
      <c r="G1488" s="105"/>
    </row>
    <row r="1489">
      <c r="G1489" s="105"/>
    </row>
    <row r="1490">
      <c r="G1490" s="105"/>
    </row>
    <row r="1491">
      <c r="G1491" s="105"/>
    </row>
    <row r="1492">
      <c r="G1492" s="105"/>
    </row>
    <row r="1493">
      <c r="G1493" s="105"/>
    </row>
    <row r="1494">
      <c r="G1494" s="105"/>
    </row>
    <row r="1495">
      <c r="G1495" s="105"/>
    </row>
    <row r="1496">
      <c r="G1496" s="105"/>
    </row>
    <row r="1497">
      <c r="G1497" s="105"/>
    </row>
    <row r="1498">
      <c r="G1498" s="105"/>
    </row>
    <row r="1499">
      <c r="G1499" s="105"/>
    </row>
    <row r="1500">
      <c r="G1500" s="105"/>
    </row>
    <row r="1501">
      <c r="G1501" s="105"/>
    </row>
    <row r="1502">
      <c r="G1502" s="105"/>
    </row>
    <row r="1503">
      <c r="G1503" s="105"/>
    </row>
    <row r="1504">
      <c r="G1504" s="105"/>
    </row>
    <row r="1505">
      <c r="G1505" s="105"/>
    </row>
    <row r="1506">
      <c r="G1506" s="105"/>
    </row>
    <row r="1507">
      <c r="G1507" s="105"/>
    </row>
    <row r="1508">
      <c r="G1508" s="105"/>
    </row>
    <row r="1509">
      <c r="G1509" s="105"/>
    </row>
    <row r="1510">
      <c r="G1510" s="105"/>
    </row>
    <row r="1511">
      <c r="G1511" s="105"/>
    </row>
    <row r="1512">
      <c r="G1512" s="105"/>
    </row>
    <row r="1513">
      <c r="G1513" s="105"/>
    </row>
    <row r="1514">
      <c r="G1514" s="105"/>
    </row>
    <row r="1515">
      <c r="G1515" s="105"/>
    </row>
    <row r="1516">
      <c r="G1516" s="105"/>
    </row>
    <row r="1517">
      <c r="G1517" s="105"/>
    </row>
    <row r="1518">
      <c r="G1518" s="105"/>
    </row>
    <row r="1519">
      <c r="G1519" s="105"/>
    </row>
    <row r="1520">
      <c r="G1520" s="105"/>
    </row>
    <row r="1521">
      <c r="G1521" s="105"/>
    </row>
    <row r="1522">
      <c r="G1522" s="105"/>
    </row>
    <row r="1523">
      <c r="G1523" s="105"/>
    </row>
    <row r="1524">
      <c r="G1524" s="105"/>
    </row>
    <row r="1525">
      <c r="G1525" s="105"/>
    </row>
    <row r="1526">
      <c r="G1526" s="105"/>
    </row>
    <row r="1527">
      <c r="G1527" s="105"/>
    </row>
    <row r="1528">
      <c r="G1528" s="105"/>
    </row>
    <row r="1529">
      <c r="G1529" s="105"/>
    </row>
    <row r="1530">
      <c r="G1530" s="105"/>
    </row>
    <row r="1531">
      <c r="G1531" s="105"/>
    </row>
    <row r="1532">
      <c r="G1532" s="105"/>
    </row>
    <row r="1533">
      <c r="G1533" s="105"/>
    </row>
    <row r="1534">
      <c r="G1534" s="105"/>
    </row>
    <row r="1535">
      <c r="G1535" s="105"/>
    </row>
    <row r="1536">
      <c r="G1536" s="105"/>
    </row>
    <row r="1537">
      <c r="G1537" s="105"/>
    </row>
    <row r="1538">
      <c r="G1538" s="105"/>
    </row>
    <row r="1539">
      <c r="G1539" s="105"/>
    </row>
    <row r="1540">
      <c r="G1540" s="105"/>
    </row>
    <row r="1541">
      <c r="G1541" s="105"/>
    </row>
    <row r="1542">
      <c r="G1542" s="105"/>
    </row>
    <row r="1543">
      <c r="G1543" s="105"/>
    </row>
    <row r="1544">
      <c r="G1544" s="105"/>
    </row>
    <row r="1545">
      <c r="G1545" s="105"/>
    </row>
    <row r="1546">
      <c r="G1546" s="105"/>
    </row>
    <row r="1547">
      <c r="G1547" s="105"/>
    </row>
    <row r="1548">
      <c r="G1548" s="105"/>
    </row>
    <row r="1549">
      <c r="G1549" s="105"/>
    </row>
    <row r="1550">
      <c r="G1550" s="105"/>
    </row>
    <row r="1551">
      <c r="G1551" s="105"/>
    </row>
    <row r="1552">
      <c r="G1552" s="105"/>
    </row>
    <row r="1553">
      <c r="G1553" s="105"/>
    </row>
    <row r="1554">
      <c r="G1554" s="105"/>
    </row>
    <row r="1555">
      <c r="G1555" s="105"/>
    </row>
    <row r="1556">
      <c r="G1556" s="105"/>
    </row>
    <row r="1557">
      <c r="G1557" s="105"/>
    </row>
    <row r="1558">
      <c r="G1558" s="105"/>
    </row>
    <row r="1559">
      <c r="G1559" s="105"/>
    </row>
    <row r="1560">
      <c r="G1560" s="105"/>
    </row>
    <row r="1561">
      <c r="G1561" s="105"/>
    </row>
    <row r="1562">
      <c r="G1562" s="105"/>
    </row>
    <row r="1563">
      <c r="G1563" s="105"/>
    </row>
    <row r="1564">
      <c r="G1564" s="105"/>
    </row>
    <row r="1565">
      <c r="G1565" s="105"/>
    </row>
    <row r="1566">
      <c r="G1566" s="105"/>
    </row>
    <row r="1567">
      <c r="G1567" s="105"/>
    </row>
    <row r="1568">
      <c r="G1568" s="105"/>
    </row>
    <row r="1569">
      <c r="G1569" s="105"/>
    </row>
    <row r="1570">
      <c r="G1570" s="105"/>
    </row>
    <row r="1571">
      <c r="G1571" s="105"/>
    </row>
    <row r="1572">
      <c r="G1572" s="105"/>
    </row>
    <row r="1573">
      <c r="G1573" s="105"/>
    </row>
    <row r="1574">
      <c r="G1574" s="105"/>
    </row>
    <row r="1575">
      <c r="G1575" s="105"/>
    </row>
    <row r="1576">
      <c r="G1576" s="105"/>
    </row>
    <row r="1577">
      <c r="G1577" s="105"/>
    </row>
    <row r="1578">
      <c r="G1578" s="105"/>
    </row>
    <row r="1579">
      <c r="G1579" s="105"/>
    </row>
    <row r="1580">
      <c r="G1580" s="105"/>
    </row>
    <row r="1581">
      <c r="G1581" s="105"/>
    </row>
    <row r="1582">
      <c r="G1582" s="105"/>
    </row>
    <row r="1583">
      <c r="G1583" s="105"/>
    </row>
    <row r="1584">
      <c r="G1584" s="105"/>
    </row>
    <row r="1585">
      <c r="G1585" s="105"/>
    </row>
    <row r="1586">
      <c r="G1586" s="105"/>
    </row>
    <row r="1587">
      <c r="G1587" s="105"/>
    </row>
    <row r="1588">
      <c r="G1588" s="105"/>
    </row>
    <row r="1589">
      <c r="G1589" s="105"/>
    </row>
    <row r="1590">
      <c r="G1590" s="105"/>
    </row>
    <row r="1591">
      <c r="G1591" s="105"/>
    </row>
    <row r="1592">
      <c r="G1592" s="105"/>
    </row>
    <row r="1593">
      <c r="G1593" s="105"/>
    </row>
    <row r="1594">
      <c r="G1594" s="105"/>
    </row>
    <row r="1595">
      <c r="G1595" s="105"/>
    </row>
    <row r="1596">
      <c r="G1596" s="105"/>
    </row>
    <row r="1597">
      <c r="G1597" s="105"/>
    </row>
    <row r="1598">
      <c r="G1598" s="105"/>
    </row>
    <row r="1599">
      <c r="G1599" s="105"/>
    </row>
    <row r="1600">
      <c r="G1600" s="105"/>
    </row>
    <row r="1601">
      <c r="G1601" s="105"/>
    </row>
    <row r="1602">
      <c r="G1602" s="105"/>
    </row>
    <row r="1603">
      <c r="G1603" s="105"/>
    </row>
    <row r="1604">
      <c r="G1604" s="105"/>
    </row>
    <row r="1605">
      <c r="G1605" s="105"/>
    </row>
    <row r="1606">
      <c r="G1606" s="105"/>
    </row>
    <row r="1607">
      <c r="G1607" s="105"/>
    </row>
    <row r="1608">
      <c r="G1608" s="105"/>
    </row>
    <row r="1609">
      <c r="G1609" s="105"/>
    </row>
    <row r="1610">
      <c r="G1610" s="105"/>
    </row>
    <row r="1611">
      <c r="G1611" s="105"/>
    </row>
    <row r="1612">
      <c r="G1612" s="105"/>
    </row>
    <row r="1613">
      <c r="G1613" s="105"/>
    </row>
    <row r="1614">
      <c r="G1614" s="105"/>
    </row>
    <row r="1615">
      <c r="G1615" s="105"/>
    </row>
    <row r="1616">
      <c r="G1616" s="105"/>
    </row>
    <row r="1617">
      <c r="G1617" s="105"/>
    </row>
    <row r="1618">
      <c r="G1618" s="105"/>
    </row>
    <row r="1619">
      <c r="G1619" s="105"/>
    </row>
    <row r="1620">
      <c r="G1620" s="105"/>
    </row>
    <row r="1621">
      <c r="G1621" s="105"/>
    </row>
    <row r="1622">
      <c r="G1622" s="105"/>
    </row>
    <row r="1623">
      <c r="G1623" s="105"/>
    </row>
    <row r="1624">
      <c r="G1624" s="105"/>
    </row>
    <row r="1625">
      <c r="G1625" s="105"/>
    </row>
    <row r="1626">
      <c r="G1626" s="105"/>
    </row>
    <row r="1627">
      <c r="G1627" s="105"/>
    </row>
    <row r="1628">
      <c r="G1628" s="105"/>
    </row>
    <row r="1629">
      <c r="G1629" s="105"/>
    </row>
    <row r="1630">
      <c r="G1630" s="105"/>
    </row>
    <row r="1631">
      <c r="G1631" s="105"/>
    </row>
    <row r="1632">
      <c r="G1632" s="105"/>
    </row>
    <row r="1633">
      <c r="G1633" s="105"/>
    </row>
    <row r="1634">
      <c r="G1634" s="105"/>
    </row>
    <row r="1635">
      <c r="G1635" s="105"/>
    </row>
    <row r="1636">
      <c r="G1636" s="105"/>
    </row>
    <row r="1637">
      <c r="G1637" s="105"/>
    </row>
    <row r="1638">
      <c r="G1638" s="105"/>
    </row>
    <row r="1639">
      <c r="G1639" s="105"/>
    </row>
    <row r="1640">
      <c r="G1640" s="105"/>
    </row>
    <row r="1641">
      <c r="G1641" s="105"/>
    </row>
    <row r="1642">
      <c r="G1642" s="105"/>
    </row>
    <row r="1643">
      <c r="G1643" s="105"/>
    </row>
    <row r="1644">
      <c r="G1644" s="105"/>
    </row>
    <row r="1645">
      <c r="G1645" s="105"/>
    </row>
    <row r="1646">
      <c r="G1646" s="105"/>
    </row>
    <row r="1647">
      <c r="G1647" s="105"/>
    </row>
    <row r="1648">
      <c r="G1648" s="105"/>
    </row>
    <row r="1649">
      <c r="G1649" s="105"/>
    </row>
    <row r="1650">
      <c r="G1650" s="105"/>
    </row>
    <row r="1651">
      <c r="G1651" s="105"/>
    </row>
    <row r="1652">
      <c r="G1652" s="105"/>
    </row>
    <row r="1653">
      <c r="G1653" s="105"/>
    </row>
    <row r="1654">
      <c r="G1654" s="105"/>
    </row>
  </sheetData>
  <dataValidations>
    <dataValidation type="custom" allowBlank="1" showDropDown="1" sqref="E2:E1296 G2:G1296">
      <formula1>AND(ISNUMBER(E2),(NOT(OR(NOT(ISERROR(DATEVALUE(E2))), AND(ISNUMBER(E2), LEFT(CELL("format", E2))="D")))))</formula1>
    </dataValidation>
  </dataValidations>
  <hyperlinks>
    <hyperlink r:id="rId1" ref="B205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5" max="5" width="24.75"/>
    <col customWidth="1" min="6" max="6" width="27.5"/>
    <col customWidth="1" min="9" max="9" width="16.13"/>
    <col customWidth="1" min="10" max="10" width="22.25"/>
    <col customWidth="1" min="11" max="11" width="14.75"/>
    <col customWidth="1" min="12" max="12" width="23.5"/>
    <col customWidth="1" min="15" max="15" width="20.38"/>
    <col customWidth="1" min="16" max="16" width="11.63"/>
    <col customWidth="1" min="17" max="17" width="14.5"/>
  </cols>
  <sheetData>
    <row r="4" ht="40.5" customHeight="1">
      <c r="D4" s="1" t="s">
        <v>0</v>
      </c>
      <c r="E4" s="2"/>
      <c r="F4" s="3"/>
    </row>
    <row r="5">
      <c r="D5" s="5" t="s">
        <v>1</v>
      </c>
      <c r="E5" s="6" t="s">
        <v>2</v>
      </c>
      <c r="F5" s="7" t="s">
        <v>3</v>
      </c>
      <c r="I5" s="8"/>
    </row>
    <row r="6">
      <c r="D6" s="10" t="s">
        <v>4</v>
      </c>
      <c r="E6" s="14">
        <f>Revenue!F259</f>
        <v>65369420</v>
      </c>
      <c r="F6" s="16">
        <f>E6</f>
        <v>65369420</v>
      </c>
      <c r="J6" s="17"/>
      <c r="K6" s="17"/>
      <c r="L6" s="17"/>
      <c r="O6" s="21"/>
    </row>
    <row r="7">
      <c r="D7" s="22" t="s">
        <v>10</v>
      </c>
      <c r="E7" s="24"/>
      <c r="F7" s="26"/>
      <c r="I7" s="27"/>
      <c r="J7" s="28"/>
      <c r="K7" s="29"/>
      <c r="L7" s="30"/>
      <c r="O7" s="31"/>
      <c r="P7" s="17"/>
      <c r="Q7" s="17"/>
    </row>
    <row r="8">
      <c r="D8" s="33" t="s">
        <v>19</v>
      </c>
      <c r="E8" s="24" t="str">
        <f>Expenses!E1297+Salaries!$K$27+Salaries!K61+Salaries!K91+Salaries!$K$123+Salaries!K159+Salaries!K191+Salaries!$K$231</f>
        <v>#REF!</v>
      </c>
      <c r="F8" s="26" t="str">
        <f>E8</f>
        <v>#REF!</v>
      </c>
      <c r="I8" s="44"/>
      <c r="J8" s="45"/>
      <c r="K8" s="46"/>
      <c r="L8" s="47"/>
      <c r="P8" s="48"/>
      <c r="Q8" s="50"/>
    </row>
    <row r="9">
      <c r="D9" s="22" t="s">
        <v>28</v>
      </c>
      <c r="E9" s="24"/>
      <c r="F9" s="26"/>
      <c r="I9" s="44"/>
      <c r="J9" s="45"/>
      <c r="K9" s="46"/>
      <c r="L9" s="47"/>
      <c r="Q9" s="50"/>
    </row>
    <row r="10">
      <c r="D10" s="33" t="s">
        <v>29</v>
      </c>
      <c r="E10" s="24" t="str">
        <f>Salaries!$J$27-Salaries!J7</f>
        <v>#REF!</v>
      </c>
      <c r="F10" s="56" t="str">
        <f t="shared" ref="F10:F16" si="1">E10</f>
        <v>#REF!</v>
      </c>
      <c r="I10" s="44"/>
      <c r="J10" s="45"/>
      <c r="K10" s="46"/>
      <c r="L10" s="47"/>
      <c r="O10" s="31"/>
      <c r="P10" s="57"/>
      <c r="Q10" s="17"/>
    </row>
    <row r="11">
      <c r="D11" s="33" t="s">
        <v>32</v>
      </c>
      <c r="E11" s="24" t="str">
        <f>Salaries!J61-Salaries!J37</f>
        <v>#REF!</v>
      </c>
      <c r="F11" s="26" t="str">
        <f t="shared" si="1"/>
        <v>#REF!</v>
      </c>
      <c r="I11" s="44"/>
      <c r="J11" s="45"/>
      <c r="K11" s="46"/>
      <c r="L11" s="47"/>
      <c r="P11" s="50"/>
    </row>
    <row r="12">
      <c r="D12" s="33" t="s">
        <v>33</v>
      </c>
      <c r="E12" s="24" t="str">
        <f>Salaries!J91-Salaries!J69</f>
        <v>#REF!</v>
      </c>
      <c r="F12" s="26" t="str">
        <f t="shared" si="1"/>
        <v>#REF!</v>
      </c>
      <c r="I12" s="44"/>
      <c r="J12" s="62"/>
      <c r="K12" s="46"/>
      <c r="L12" s="63"/>
      <c r="P12" s="50"/>
    </row>
    <row r="13">
      <c r="D13" s="33" t="s">
        <v>34</v>
      </c>
      <c r="E13" s="24" t="str">
        <f>Salaries!$J$123-Salaries!J97</f>
        <v>#REF!</v>
      </c>
      <c r="F13" s="26" t="str">
        <f t="shared" si="1"/>
        <v>#REF!</v>
      </c>
      <c r="I13" s="44"/>
      <c r="J13" s="65"/>
      <c r="K13" s="66"/>
      <c r="L13" s="67"/>
      <c r="P13" s="68"/>
    </row>
    <row r="14">
      <c r="D14" s="33" t="s">
        <v>38</v>
      </c>
      <c r="E14" s="24" t="str">
        <f>Salaries!J159-Salaries!J134</f>
        <v>#REF!</v>
      </c>
      <c r="F14" s="24" t="str">
        <f t="shared" si="1"/>
        <v>#REF!</v>
      </c>
      <c r="I14" s="44"/>
      <c r="J14" s="65"/>
      <c r="K14" s="69"/>
      <c r="L14" s="67"/>
      <c r="O14" s="31"/>
      <c r="P14" s="71"/>
      <c r="Q14" s="17"/>
    </row>
    <row r="15">
      <c r="D15" s="33" t="s">
        <v>40</v>
      </c>
      <c r="E15" s="24" t="str">
        <f>Salaries!J191-Salaries!J165</f>
        <v>#REF!</v>
      </c>
      <c r="F15" s="26" t="str">
        <f t="shared" si="1"/>
        <v>#REF!</v>
      </c>
      <c r="I15" s="72"/>
      <c r="J15" s="73"/>
      <c r="K15" s="69"/>
      <c r="L15" s="67"/>
      <c r="O15" s="31"/>
      <c r="P15" s="71"/>
      <c r="Q15" s="17"/>
    </row>
    <row r="16">
      <c r="D16" s="33" t="s">
        <v>43</v>
      </c>
      <c r="E16" s="73" t="str">
        <f>Salaries!$J$231-Salaries!J198</f>
        <v>#REF!</v>
      </c>
      <c r="F16" s="26" t="str">
        <f t="shared" si="1"/>
        <v>#REF!</v>
      </c>
      <c r="I16" s="72"/>
      <c r="J16" s="73"/>
      <c r="K16" s="69"/>
      <c r="L16" s="67"/>
      <c r="O16" s="31"/>
      <c r="P16" s="71"/>
      <c r="Q16" s="17"/>
    </row>
    <row r="17">
      <c r="D17" s="33" t="s">
        <v>45</v>
      </c>
      <c r="E17" s="73"/>
      <c r="F17" s="74"/>
      <c r="I17" s="72"/>
      <c r="J17" s="73"/>
      <c r="K17" s="69"/>
      <c r="L17" s="67"/>
    </row>
    <row r="18">
      <c r="D18" s="33" t="s">
        <v>47</v>
      </c>
      <c r="E18" s="24"/>
      <c r="F18" s="74"/>
      <c r="I18" s="72"/>
      <c r="J18" s="73"/>
      <c r="K18" s="69"/>
      <c r="L18" s="67"/>
      <c r="Q18" s="50"/>
    </row>
    <row r="19">
      <c r="D19" s="33" t="s">
        <v>49</v>
      </c>
      <c r="E19" s="24"/>
      <c r="F19" s="26"/>
      <c r="I19" s="75"/>
      <c r="J19" s="76"/>
      <c r="K19" s="77"/>
      <c r="L19" s="79"/>
      <c r="Q19" s="50"/>
    </row>
    <row r="20">
      <c r="D20" s="33" t="s">
        <v>50</v>
      </c>
      <c r="E20" s="24"/>
      <c r="F20" s="26"/>
      <c r="I20" s="80"/>
      <c r="J20" s="81"/>
      <c r="K20" s="82"/>
      <c r="L20" s="81"/>
      <c r="Q20" s="50"/>
    </row>
    <row r="21">
      <c r="D21" s="33" t="s">
        <v>52</v>
      </c>
      <c r="E21" s="24"/>
      <c r="F21" s="26"/>
      <c r="Q21" s="50"/>
    </row>
    <row r="22">
      <c r="D22" s="84" t="s">
        <v>53</v>
      </c>
      <c r="E22" s="24"/>
      <c r="F22" s="26"/>
      <c r="Q22" s="50"/>
    </row>
    <row r="23">
      <c r="D23" s="33" t="s">
        <v>54</v>
      </c>
      <c r="E23" s="24"/>
      <c r="F23" s="85"/>
      <c r="L23" s="71"/>
    </row>
    <row r="24">
      <c r="D24" s="33" t="s">
        <v>56</v>
      </c>
      <c r="E24" s="24"/>
      <c r="F24" s="86"/>
      <c r="O24" s="31"/>
      <c r="Q24" s="17"/>
    </row>
    <row r="25">
      <c r="D25" s="33" t="s">
        <v>58</v>
      </c>
      <c r="E25" s="24"/>
      <c r="F25" s="65"/>
    </row>
    <row r="26">
      <c r="D26" s="33" t="s">
        <v>59</v>
      </c>
      <c r="E26" s="24"/>
      <c r="F26" s="86"/>
    </row>
    <row r="27">
      <c r="D27" s="33" t="s">
        <v>61</v>
      </c>
      <c r="E27" s="24"/>
      <c r="F27" s="86"/>
      <c r="I27" s="54"/>
      <c r="J27" s="50"/>
      <c r="K27" s="50"/>
      <c r="L27" s="50"/>
    </row>
    <row r="28">
      <c r="D28" s="33" t="s">
        <v>63</v>
      </c>
      <c r="E28" s="24"/>
      <c r="F28" s="85"/>
      <c r="I28" s="31"/>
      <c r="J28" s="71"/>
      <c r="K28" s="71"/>
      <c r="L28" s="71"/>
    </row>
    <row r="29">
      <c r="D29" s="33" t="s">
        <v>64</v>
      </c>
      <c r="E29" s="87"/>
      <c r="F29" s="26"/>
    </row>
    <row r="30">
      <c r="D30" s="33" t="s">
        <v>65</v>
      </c>
      <c r="E30" s="24"/>
      <c r="F30" s="26"/>
      <c r="L30" s="50"/>
    </row>
    <row r="31">
      <c r="D31" s="33" t="s">
        <v>66</v>
      </c>
      <c r="E31" s="24"/>
      <c r="F31" s="26"/>
      <c r="L31" s="48"/>
    </row>
    <row r="32">
      <c r="D32" s="33" t="s">
        <v>67</v>
      </c>
      <c r="E32" s="24"/>
      <c r="F32" s="26"/>
      <c r="J32" s="50"/>
      <c r="K32" s="50"/>
      <c r="L32" s="48"/>
    </row>
    <row r="33">
      <c r="D33" s="33" t="s">
        <v>68</v>
      </c>
      <c r="E33" s="24"/>
      <c r="F33" s="26"/>
      <c r="J33" s="50"/>
      <c r="K33" s="50"/>
      <c r="L33" s="48"/>
    </row>
    <row r="34">
      <c r="D34" s="88" t="s">
        <v>69</v>
      </c>
      <c r="E34" s="89"/>
      <c r="F34" s="90"/>
      <c r="J34" s="50"/>
      <c r="K34" s="50"/>
      <c r="L34" s="48"/>
    </row>
    <row r="35">
      <c r="D35" s="91" t="s">
        <v>71</v>
      </c>
      <c r="E35" s="92"/>
      <c r="F35" s="93" t="str">
        <f>SUM(F8:F34)</f>
        <v>#REF!</v>
      </c>
      <c r="L35" s="50"/>
    </row>
    <row r="36">
      <c r="D36" s="91" t="s">
        <v>76</v>
      </c>
      <c r="E36" s="91"/>
      <c r="F36" s="93" t="str">
        <f>F6-F35</f>
        <v>#REF!</v>
      </c>
      <c r="L36" s="50"/>
    </row>
    <row r="37">
      <c r="D37" s="95"/>
      <c r="E37" s="96"/>
      <c r="F37" s="97"/>
      <c r="L37" s="50"/>
    </row>
    <row r="38">
      <c r="D38" s="98"/>
      <c r="E38" s="99"/>
      <c r="F38" s="97"/>
      <c r="L38" s="50"/>
    </row>
    <row r="39">
      <c r="D39" s="100"/>
      <c r="E39" s="99"/>
      <c r="F39" s="97"/>
      <c r="L39" s="50"/>
    </row>
    <row r="40">
      <c r="D40" s="98"/>
      <c r="E40" s="99"/>
      <c r="F40" s="101"/>
      <c r="L40" s="50"/>
    </row>
    <row r="41">
      <c r="D41" s="95"/>
      <c r="E41" s="99"/>
      <c r="F41" s="97"/>
      <c r="L41" s="50"/>
    </row>
    <row r="42">
      <c r="D42" s="95"/>
      <c r="E42" s="99"/>
      <c r="F42" s="101"/>
      <c r="L42" s="50"/>
    </row>
    <row r="43">
      <c r="D43" s="98"/>
      <c r="E43" s="99"/>
      <c r="F43" s="97"/>
      <c r="L43" s="50"/>
    </row>
    <row r="44">
      <c r="D44" s="98"/>
      <c r="E44" s="99"/>
      <c r="F44" s="97"/>
      <c r="L44" s="50"/>
    </row>
    <row r="45">
      <c r="D45" s="33"/>
      <c r="E45" s="99"/>
      <c r="F45" s="97"/>
      <c r="L45" s="50"/>
    </row>
    <row r="46">
      <c r="D46" s="102"/>
      <c r="E46" s="103"/>
      <c r="F46" s="104"/>
      <c r="L46" s="48"/>
    </row>
    <row r="48">
      <c r="J48" s="50"/>
      <c r="K48" s="50"/>
      <c r="L48" s="50"/>
    </row>
    <row r="49">
      <c r="J49" s="17"/>
      <c r="K49" s="17"/>
      <c r="L49" s="57"/>
    </row>
    <row r="50">
      <c r="J50" s="17"/>
      <c r="K50" s="17"/>
      <c r="L50" s="17"/>
    </row>
    <row r="51">
      <c r="F51" s="105"/>
      <c r="J51" s="17"/>
      <c r="K51" s="17"/>
      <c r="L51" s="17"/>
    </row>
    <row r="52">
      <c r="J52" s="71"/>
      <c r="K52" s="71"/>
      <c r="L52" s="71"/>
    </row>
    <row r="60">
      <c r="D60" s="11"/>
      <c r="E60" s="107"/>
      <c r="F60" s="107"/>
    </row>
    <row r="61">
      <c r="D61" s="108"/>
      <c r="E61" s="108"/>
      <c r="F61" s="108"/>
    </row>
    <row r="62">
      <c r="D62" s="109"/>
      <c r="E62" s="110"/>
      <c r="F62" s="108"/>
    </row>
    <row r="63">
      <c r="D63" s="111"/>
      <c r="E63" s="111"/>
    </row>
  </sheetData>
  <mergeCells count="5">
    <mergeCell ref="D4:F4"/>
    <mergeCell ref="O6:Q6"/>
    <mergeCell ref="O21:P21"/>
    <mergeCell ref="O22:P22"/>
    <mergeCell ref="O24:P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13"/>
    <col customWidth="1" min="4" max="4" width="24.88"/>
    <col customWidth="1" min="5" max="5" width="13.63"/>
  </cols>
  <sheetData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9"/>
      <c r="C4" s="9"/>
      <c r="D4" s="9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4"/>
      <c r="C5" s="4"/>
      <c r="D5" s="4"/>
      <c r="E5" s="12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4"/>
      <c r="C6" s="4"/>
      <c r="D6" s="4"/>
      <c r="E6" s="12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4"/>
      <c r="C7" s="4"/>
      <c r="D7" s="4"/>
      <c r="E7" s="12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4"/>
      <c r="C8" s="4"/>
      <c r="D8" s="4"/>
      <c r="E8" s="12"/>
      <c r="F8" s="1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11"/>
      <c r="C9" s="4"/>
      <c r="D9" s="4"/>
      <c r="E9" s="12"/>
      <c r="F9" s="1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1"/>
      <c r="C10" s="4"/>
      <c r="D10" s="11"/>
      <c r="E10" s="12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1"/>
      <c r="C11" s="4"/>
      <c r="D11" s="11"/>
      <c r="E11" s="12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1"/>
      <c r="C12" s="4"/>
      <c r="D12" s="11"/>
      <c r="E12" s="12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1"/>
      <c r="C13" s="4"/>
      <c r="D13" s="4"/>
      <c r="E13" s="12"/>
      <c r="F13" s="1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1"/>
      <c r="C14" s="4"/>
      <c r="D14" s="11"/>
      <c r="E14" s="34"/>
      <c r="F14" s="1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1"/>
      <c r="C15" s="4"/>
      <c r="D15" s="11"/>
      <c r="E15" s="34"/>
      <c r="F15" s="1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1"/>
      <c r="C16" s="4"/>
      <c r="D16" s="11"/>
      <c r="E16" s="34"/>
      <c r="F16" s="19"/>
      <c r="G16" s="4"/>
      <c r="H16" s="4"/>
      <c r="I16" s="1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11"/>
      <c r="C17" s="11"/>
      <c r="D17" s="4"/>
      <c r="E17" s="39"/>
      <c r="F17" s="19"/>
      <c r="G17" s="4"/>
      <c r="H17" s="4"/>
      <c r="I17" s="1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1"/>
      <c r="C18" s="11"/>
      <c r="D18" s="4"/>
      <c r="E18" s="39"/>
      <c r="F18" s="19"/>
      <c r="G18" s="4"/>
      <c r="H18" s="4"/>
      <c r="I18" s="1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1"/>
      <c r="C19" s="4"/>
      <c r="D19" s="4"/>
      <c r="E19" s="39"/>
      <c r="F19" s="19"/>
      <c r="G19" s="4"/>
      <c r="H19" s="4"/>
      <c r="I19" s="1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1"/>
      <c r="C20" s="4"/>
      <c r="D20" s="4"/>
      <c r="E20" s="39"/>
      <c r="F20" s="1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11"/>
      <c r="C21" s="4"/>
      <c r="D21" s="4"/>
      <c r="E21" s="39"/>
      <c r="F21" s="1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11"/>
      <c r="C22" s="4"/>
      <c r="D22" s="4"/>
      <c r="E22" s="4"/>
      <c r="F22" s="1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4"/>
      <c r="C23" s="4"/>
      <c r="D23" s="4"/>
      <c r="E23" s="4"/>
      <c r="F23" s="1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12"/>
      <c r="F24" s="1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12"/>
      <c r="F25" s="1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11"/>
      <c r="D26" s="11"/>
      <c r="E26" s="53"/>
      <c r="F26" s="19"/>
      <c r="G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54"/>
      <c r="D27" s="4"/>
      <c r="E27" s="12"/>
      <c r="F27" s="1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5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1"/>
      <c r="D29" s="4"/>
      <c r="E29" s="4"/>
      <c r="F29" s="5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6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8" max="8" width="15.75"/>
    <col customWidth="1" min="9" max="9" width="14.88"/>
    <col customWidth="1" min="11" max="11" width="18.88"/>
  </cols>
  <sheetData>
    <row r="5">
      <c r="C5" s="21" t="s">
        <v>110</v>
      </c>
    </row>
    <row r="6">
      <c r="C6" s="31" t="s">
        <v>1</v>
      </c>
      <c r="D6" s="17" t="s">
        <v>14</v>
      </c>
      <c r="E6" s="17" t="s">
        <v>14</v>
      </c>
      <c r="F6" s="17" t="s">
        <v>111</v>
      </c>
    </row>
    <row r="7">
      <c r="C7" s="111" t="s">
        <v>112</v>
      </c>
      <c r="D7" s="50" t="s">
        <v>113</v>
      </c>
      <c r="E7" s="116">
        <f>'Income Statement'!F6</f>
        <v>65369420</v>
      </c>
      <c r="F7" s="117" t="str">
        <f>#REF!</f>
        <v>#REF!</v>
      </c>
    </row>
    <row r="8">
      <c r="C8" s="111" t="s">
        <v>116</v>
      </c>
      <c r="D8" s="118" t="s">
        <v>117</v>
      </c>
      <c r="E8" s="118">
        <f t="shared" ref="E8:F8" si="1">E7*18/118</f>
        <v>9971606.441</v>
      </c>
      <c r="F8" s="105" t="str">
        <f t="shared" si="1"/>
        <v>#REF!</v>
      </c>
    </row>
    <row r="9">
      <c r="C9" s="111" t="s">
        <v>119</v>
      </c>
      <c r="D9" s="118" t="s">
        <v>120</v>
      </c>
      <c r="E9" s="116">
        <f t="shared" ref="E9:F9" si="2">E7-E8</f>
        <v>55397813.56</v>
      </c>
      <c r="F9" s="105" t="str">
        <f t="shared" si="2"/>
        <v>#REF!</v>
      </c>
    </row>
    <row r="10">
      <c r="C10" s="111" t="s">
        <v>122</v>
      </c>
      <c r="D10" s="48"/>
      <c r="E10" s="48"/>
    </row>
    <row r="11">
      <c r="C11" s="111" t="s">
        <v>123</v>
      </c>
      <c r="D11" s="50" t="s">
        <v>124</v>
      </c>
      <c r="E11" s="50" t="str">
        <f>'Huemn Expenses'!G201-'Huemn Expenses'!L5-'Huemn Expenses'!L6-'Huemn Expenses'!L7-'Huemn Expenses'!L8-'Huemn Expenses'!L9-'Huemn Expenses'!L10+Salaries!K85</f>
        <v>#REF!</v>
      </c>
      <c r="F11" s="117" t="str">
        <f>E11+800000</f>
        <v>#REF!</v>
      </c>
    </row>
    <row r="12">
      <c r="C12" s="111" t="s">
        <v>28</v>
      </c>
      <c r="D12" s="50" t="s">
        <v>127</v>
      </c>
      <c r="E12" s="50" t="str">
        <f>#REF!+#REF!+#REF!</f>
        <v>#REF!</v>
      </c>
      <c r="F12" s="117" t="str">
        <f>E12+700000</f>
        <v>#REF!</v>
      </c>
    </row>
    <row r="13">
      <c r="C13" s="111" t="s">
        <v>130</v>
      </c>
      <c r="D13" s="50" t="s">
        <v>132</v>
      </c>
      <c r="E13" s="17" t="str">
        <f>sum(E11:E12)</f>
        <v>#REF!</v>
      </c>
      <c r="F13" s="117" t="str">
        <f>SUM(F11:F12)</f>
        <v>#REF!</v>
      </c>
    </row>
    <row r="14">
      <c r="C14" s="31" t="s">
        <v>76</v>
      </c>
      <c r="D14" s="17" t="s">
        <v>133</v>
      </c>
      <c r="E14" s="17" t="str">
        <f t="shared" ref="E14:F14" si="3">E9-E13</f>
        <v>#REF!</v>
      </c>
      <c r="F14" s="119" t="str">
        <f t="shared" si="3"/>
        <v>#REF!</v>
      </c>
      <c r="G14" s="120" t="str">
        <f>F14/F7</f>
        <v>#REF!</v>
      </c>
    </row>
    <row r="15">
      <c r="E15" s="121" t="str">
        <f>E14/E9</f>
        <v>#REF!</v>
      </c>
    </row>
    <row r="17">
      <c r="H17" s="122" t="s">
        <v>137</v>
      </c>
      <c r="K17" s="21" t="s">
        <v>138</v>
      </c>
    </row>
    <row r="18">
      <c r="C18" s="21" t="s">
        <v>139</v>
      </c>
      <c r="H18" s="21" t="s">
        <v>140</v>
      </c>
      <c r="K18" s="21" t="s">
        <v>140</v>
      </c>
    </row>
    <row r="19">
      <c r="C19" s="31" t="s">
        <v>1</v>
      </c>
      <c r="D19" s="17" t="s">
        <v>141</v>
      </c>
      <c r="E19" s="17" t="s">
        <v>14</v>
      </c>
      <c r="H19" s="31" t="s">
        <v>1</v>
      </c>
      <c r="I19" s="17" t="s">
        <v>141</v>
      </c>
      <c r="K19" s="31" t="s">
        <v>1</v>
      </c>
      <c r="L19" s="17" t="s">
        <v>141</v>
      </c>
    </row>
    <row r="20">
      <c r="C20" s="111" t="s">
        <v>112</v>
      </c>
      <c r="D20" s="117">
        <f>16876290</f>
        <v>16876290</v>
      </c>
      <c r="E20" s="116">
        <f t="shared" ref="E20:E21" si="4">D20+E7</f>
        <v>82245710</v>
      </c>
      <c r="H20" s="111" t="s">
        <v>112</v>
      </c>
      <c r="I20" s="50" t="s">
        <v>145</v>
      </c>
      <c r="K20" s="111" t="s">
        <v>112</v>
      </c>
      <c r="L20" s="50" t="s">
        <v>146</v>
      </c>
    </row>
    <row r="21">
      <c r="C21" s="111" t="s">
        <v>116</v>
      </c>
      <c r="D21" s="105">
        <f>2350112</f>
        <v>2350112</v>
      </c>
      <c r="E21" s="118">
        <f t="shared" si="4"/>
        <v>12321718.44</v>
      </c>
      <c r="H21" s="111" t="s">
        <v>116</v>
      </c>
      <c r="I21" s="118" t="s">
        <v>147</v>
      </c>
      <c r="K21" s="111" t="s">
        <v>116</v>
      </c>
      <c r="L21" s="118" t="s">
        <v>148</v>
      </c>
    </row>
    <row r="22">
      <c r="C22" s="111" t="s">
        <v>119</v>
      </c>
      <c r="D22" s="105">
        <f t="shared" ref="D22:E22" si="5">D20-D21</f>
        <v>14526178</v>
      </c>
      <c r="E22" s="116">
        <f t="shared" si="5"/>
        <v>69923991.56</v>
      </c>
      <c r="H22" s="111" t="s">
        <v>119</v>
      </c>
      <c r="I22" s="118" t="s">
        <v>150</v>
      </c>
      <c r="K22" s="111" t="s">
        <v>119</v>
      </c>
      <c r="L22" s="118" t="s">
        <v>151</v>
      </c>
    </row>
    <row r="23">
      <c r="C23" s="111" t="s">
        <v>122</v>
      </c>
      <c r="E23" s="48"/>
      <c r="H23" s="111" t="s">
        <v>122</v>
      </c>
      <c r="I23" s="48"/>
      <c r="K23" s="111" t="s">
        <v>122</v>
      </c>
      <c r="L23" s="48"/>
    </row>
    <row r="24">
      <c r="C24" s="111" t="s">
        <v>123</v>
      </c>
      <c r="D24" s="111">
        <f>6304815</f>
        <v>6304815</v>
      </c>
      <c r="E24" s="50" t="str">
        <f t="shared" ref="E24:E25" si="6">D24+E11</f>
        <v>#REF!</v>
      </c>
      <c r="H24" s="111" t="s">
        <v>123</v>
      </c>
      <c r="I24" s="50" t="s">
        <v>154</v>
      </c>
      <c r="K24" s="111" t="s">
        <v>123</v>
      </c>
      <c r="L24" s="50" t="s">
        <v>155</v>
      </c>
    </row>
    <row r="25">
      <c r="C25" s="111" t="s">
        <v>28</v>
      </c>
      <c r="D25" s="117">
        <f>5253618</f>
        <v>5253618</v>
      </c>
      <c r="E25" s="50" t="str">
        <f t="shared" si="6"/>
        <v>#REF!</v>
      </c>
      <c r="H25" s="111" t="s">
        <v>28</v>
      </c>
      <c r="I25" s="50" t="s">
        <v>156</v>
      </c>
      <c r="K25" s="111" t="s">
        <v>28</v>
      </c>
      <c r="L25" s="68" t="s">
        <v>157</v>
      </c>
    </row>
    <row r="26">
      <c r="C26" s="111" t="s">
        <v>130</v>
      </c>
      <c r="D26" s="117">
        <f>D24+D25</f>
        <v>11558433</v>
      </c>
      <c r="E26" s="17" t="str">
        <f>sum(E24:E25)</f>
        <v>#REF!</v>
      </c>
      <c r="H26" s="111" t="s">
        <v>130</v>
      </c>
      <c r="I26" s="50" t="s">
        <v>158</v>
      </c>
      <c r="K26" s="111" t="s">
        <v>130</v>
      </c>
      <c r="L26" s="50" t="s">
        <v>159</v>
      </c>
    </row>
    <row r="27">
      <c r="C27" s="31" t="s">
        <v>76</v>
      </c>
      <c r="D27" s="123">
        <f t="shared" ref="D27:E27" si="7">D22-D26</f>
        <v>2967745</v>
      </c>
      <c r="E27" s="17" t="str">
        <f t="shared" si="7"/>
        <v>#REF!</v>
      </c>
      <c r="F27" s="121">
        <f>D27/D20</f>
        <v>0.1758529274</v>
      </c>
      <c r="H27" s="31" t="s">
        <v>76</v>
      </c>
      <c r="I27" s="17" t="s">
        <v>164</v>
      </c>
      <c r="K27" s="31" t="s">
        <v>76</v>
      </c>
      <c r="L27" s="17" t="s">
        <v>165</v>
      </c>
    </row>
    <row r="28">
      <c r="C28" s="111" t="s">
        <v>166</v>
      </c>
      <c r="D28" s="117">
        <f t="shared" ref="D28:E28" si="8">D27/2</f>
        <v>1483872.5</v>
      </c>
      <c r="E28" s="50" t="str">
        <f t="shared" si="8"/>
        <v>#REF!</v>
      </c>
      <c r="H28" s="111" t="s">
        <v>167</v>
      </c>
      <c r="I28" s="124">
        <v>0.176</v>
      </c>
      <c r="K28" s="111" t="s">
        <v>167</v>
      </c>
      <c r="L28" s="124">
        <v>0.195</v>
      </c>
    </row>
    <row r="29">
      <c r="E29" s="50"/>
    </row>
    <row r="30">
      <c r="E30" s="68"/>
    </row>
    <row r="31">
      <c r="C31" s="21" t="s">
        <v>168</v>
      </c>
      <c r="H31" s="21" t="s">
        <v>169</v>
      </c>
      <c r="K31" s="21" t="s">
        <v>169</v>
      </c>
    </row>
    <row r="32">
      <c r="C32" s="111" t="s">
        <v>1</v>
      </c>
      <c r="D32" s="50" t="s">
        <v>14</v>
      </c>
      <c r="E32" s="50" t="s">
        <v>14</v>
      </c>
      <c r="H32" s="31" t="s">
        <v>1</v>
      </c>
      <c r="I32" s="17" t="s">
        <v>141</v>
      </c>
      <c r="K32" s="31" t="s">
        <v>1</v>
      </c>
      <c r="L32" s="17" t="s">
        <v>141</v>
      </c>
    </row>
    <row r="33">
      <c r="C33" s="111" t="s">
        <v>4</v>
      </c>
      <c r="E33" s="117" t="str">
        <f>Revenue!F138+Revenue!G138</f>
        <v>#REF!</v>
      </c>
      <c r="H33" s="111" t="s">
        <v>112</v>
      </c>
      <c r="I33" s="50" t="s">
        <v>113</v>
      </c>
      <c r="K33" s="111" t="s">
        <v>112</v>
      </c>
      <c r="L33" s="50" t="s">
        <v>174</v>
      </c>
    </row>
    <row r="34">
      <c r="C34" s="111" t="s">
        <v>175</v>
      </c>
      <c r="H34" s="111" t="s">
        <v>116</v>
      </c>
      <c r="I34" s="118" t="s">
        <v>177</v>
      </c>
      <c r="K34" s="111" t="s">
        <v>116</v>
      </c>
      <c r="L34" s="118" t="s">
        <v>178</v>
      </c>
    </row>
    <row r="35">
      <c r="C35" s="111" t="s">
        <v>53</v>
      </c>
      <c r="D35" s="105" t="str">
        <f>E33*18/118</f>
        <v>#REF!</v>
      </c>
      <c r="H35" s="111" t="s">
        <v>119</v>
      </c>
      <c r="I35" s="118" t="s">
        <v>179</v>
      </c>
      <c r="K35" s="111" t="s">
        <v>119</v>
      </c>
      <c r="L35" s="118" t="s">
        <v>180</v>
      </c>
    </row>
    <row r="36">
      <c r="C36" s="111" t="s">
        <v>123</v>
      </c>
      <c r="D36" s="117" t="str">
        <f>#REF!</f>
        <v>#REF!</v>
      </c>
      <c r="H36" s="111" t="s">
        <v>122</v>
      </c>
      <c r="I36" s="48"/>
      <c r="K36" s="111" t="s">
        <v>122</v>
      </c>
      <c r="L36" s="48"/>
    </row>
    <row r="37">
      <c r="C37" s="111" t="s">
        <v>28</v>
      </c>
      <c r="D37" s="117" t="str">
        <f>#REF!+#REF!+#REF!+#REF!</f>
        <v>#REF!</v>
      </c>
      <c r="H37" s="111" t="s">
        <v>123</v>
      </c>
      <c r="I37" s="50" t="s">
        <v>124</v>
      </c>
      <c r="K37" s="111" t="s">
        <v>123</v>
      </c>
      <c r="L37" s="50" t="s">
        <v>124</v>
      </c>
    </row>
    <row r="38">
      <c r="C38" s="111" t="s">
        <v>130</v>
      </c>
      <c r="E38" s="117" t="str">
        <f>sum(D35:D37)</f>
        <v>#REF!</v>
      </c>
      <c r="H38" s="111" t="s">
        <v>28</v>
      </c>
      <c r="I38" s="50" t="s">
        <v>127</v>
      </c>
      <c r="K38" s="111" t="s">
        <v>28</v>
      </c>
      <c r="L38" s="68" t="s">
        <v>127</v>
      </c>
    </row>
    <row r="39">
      <c r="C39" s="111" t="s">
        <v>184</v>
      </c>
      <c r="E39" s="117" t="str">
        <f>E33-E38</f>
        <v>#REF!</v>
      </c>
      <c r="H39" s="111" t="s">
        <v>130</v>
      </c>
      <c r="I39" s="50" t="s">
        <v>132</v>
      </c>
      <c r="K39" s="111" t="s">
        <v>130</v>
      </c>
      <c r="L39" s="50" t="s">
        <v>132</v>
      </c>
    </row>
    <row r="40">
      <c r="H40" s="31" t="s">
        <v>76</v>
      </c>
      <c r="I40" s="17" t="s">
        <v>185</v>
      </c>
      <c r="K40" s="31" t="s">
        <v>76</v>
      </c>
      <c r="L40" s="17" t="s">
        <v>186</v>
      </c>
    </row>
    <row r="41">
      <c r="H41" s="111" t="s">
        <v>167</v>
      </c>
      <c r="I41" s="124">
        <v>0.0833</v>
      </c>
      <c r="K41" s="111" t="s">
        <v>167</v>
      </c>
      <c r="L41" s="126">
        <v>0.42</v>
      </c>
    </row>
  </sheetData>
  <mergeCells count="9">
    <mergeCell ref="H31:I31"/>
    <mergeCell ref="K31:L31"/>
    <mergeCell ref="C5:E5"/>
    <mergeCell ref="H17:I17"/>
    <mergeCell ref="K17:L17"/>
    <mergeCell ref="C18:E18"/>
    <mergeCell ref="H18:I18"/>
    <mergeCell ref="K18:L18"/>
    <mergeCell ref="C31:E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4.13"/>
    <col customWidth="1" min="5" max="5" width="30.13"/>
    <col customWidth="1" min="6" max="6" width="17.13"/>
    <col customWidth="1" min="7" max="7" width="31.75"/>
    <col customWidth="1" min="8" max="8" width="16.0"/>
  </cols>
  <sheetData>
    <row r="1">
      <c r="D1" s="129"/>
      <c r="F1" s="129"/>
      <c r="H1" s="129"/>
    </row>
    <row r="2">
      <c r="A2" s="4"/>
      <c r="B2" s="4"/>
      <c r="C2" s="4"/>
      <c r="D2" s="12"/>
      <c r="E2" s="4"/>
      <c r="F2" s="12"/>
      <c r="G2" s="4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4"/>
      <c r="B3" s="4"/>
      <c r="C3" s="4"/>
      <c r="D3" s="12"/>
      <c r="E3" s="4"/>
      <c r="F3" s="12"/>
      <c r="G3" s="4"/>
      <c r="H3" s="1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4"/>
      <c r="B4" s="9"/>
      <c r="C4" s="9"/>
      <c r="D4" s="131"/>
      <c r="E4" s="9"/>
      <c r="F4" s="131"/>
      <c r="G4" s="4"/>
      <c r="H4" s="1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1"/>
      <c r="B5" s="4"/>
      <c r="C5" s="4"/>
      <c r="D5" s="12"/>
      <c r="E5" s="12"/>
      <c r="F5" s="132"/>
      <c r="G5" s="4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1"/>
      <c r="B6" s="4"/>
      <c r="C6" s="4"/>
      <c r="D6" s="12"/>
      <c r="E6" s="12"/>
      <c r="F6" s="132"/>
      <c r="G6" s="4"/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1"/>
      <c r="B7" s="4"/>
      <c r="C7" s="4"/>
      <c r="D7" s="12"/>
      <c r="E7" s="12"/>
      <c r="F7" s="132"/>
      <c r="G7" s="4"/>
      <c r="H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2.5" customHeight="1">
      <c r="A8" s="11"/>
      <c r="B8" s="4"/>
      <c r="C8" s="133" t="s">
        <v>29</v>
      </c>
      <c r="D8" s="134" t="s">
        <v>14</v>
      </c>
      <c r="E8" s="135" t="s">
        <v>32</v>
      </c>
      <c r="F8" s="137" t="s">
        <v>231</v>
      </c>
      <c r="G8" s="138" t="s">
        <v>33</v>
      </c>
      <c r="H8" s="139" t="s">
        <v>232</v>
      </c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2.5" customHeight="1">
      <c r="A9" s="11"/>
      <c r="B9" s="11"/>
      <c r="C9" s="140" t="s">
        <v>25</v>
      </c>
      <c r="D9" s="142">
        <v>59000.0</v>
      </c>
      <c r="E9" s="140" t="s">
        <v>104</v>
      </c>
      <c r="F9" s="142">
        <v>3540000.0</v>
      </c>
      <c r="G9" s="140" t="s">
        <v>194</v>
      </c>
      <c r="H9" s="142">
        <v>3050300.0</v>
      </c>
      <c r="I9" s="143"/>
      <c r="J9" s="14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2.5" customHeight="1">
      <c r="A10" s="11"/>
      <c r="B10" s="11"/>
      <c r="C10" s="140" t="s">
        <v>238</v>
      </c>
      <c r="D10" s="142">
        <v>15000.0</v>
      </c>
      <c r="E10" s="140" t="s">
        <v>160</v>
      </c>
      <c r="F10" s="142">
        <v>1700000.0</v>
      </c>
      <c r="G10" s="140" t="s">
        <v>201</v>
      </c>
      <c r="H10" s="142">
        <v>619500.0</v>
      </c>
      <c r="I10" s="143"/>
      <c r="J10" s="14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2.5" customHeight="1">
      <c r="A11" s="11"/>
      <c r="B11" s="11"/>
      <c r="C11" s="140" t="s">
        <v>87</v>
      </c>
      <c r="D11" s="142">
        <v>283200.0</v>
      </c>
      <c r="E11" s="140" t="s">
        <v>239</v>
      </c>
      <c r="F11" s="145">
        <v>2458500.0</v>
      </c>
      <c r="G11" s="140" t="s">
        <v>207</v>
      </c>
      <c r="H11" s="142">
        <v>324500.0</v>
      </c>
      <c r="I11" s="143"/>
      <c r="J11" s="1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2.5" customHeight="1">
      <c r="A12" s="11"/>
      <c r="B12" s="11"/>
      <c r="C12" s="64" t="s">
        <v>90</v>
      </c>
      <c r="D12" s="147" t="s">
        <v>243</v>
      </c>
      <c r="E12" s="148" t="s">
        <v>245</v>
      </c>
      <c r="F12" s="147" t="s">
        <v>247</v>
      </c>
      <c r="G12" s="64" t="s">
        <v>249</v>
      </c>
      <c r="H12" s="147">
        <f>800000+144000</f>
        <v>944000</v>
      </c>
      <c r="I12" s="143"/>
      <c r="J12" s="14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1"/>
      <c r="B13" s="11"/>
      <c r="C13" s="149" t="s">
        <v>84</v>
      </c>
      <c r="D13" s="150">
        <v>684400.0</v>
      </c>
      <c r="E13" s="149"/>
      <c r="F13" s="151"/>
      <c r="G13" s="149" t="s">
        <v>214</v>
      </c>
      <c r="H13" s="150">
        <v>767000.0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"/>
      <c r="B14" s="11"/>
      <c r="C14" s="149" t="s">
        <v>149</v>
      </c>
      <c r="D14" s="150">
        <v>100300.0</v>
      </c>
      <c r="E14" s="152"/>
      <c r="F14" s="150"/>
      <c r="G14" s="149" t="s">
        <v>253</v>
      </c>
      <c r="H14" s="150">
        <v>118000.0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1"/>
      <c r="B15" s="11"/>
      <c r="C15" s="153" t="s">
        <v>153</v>
      </c>
      <c r="D15" s="154">
        <v>330400.0</v>
      </c>
      <c r="E15" s="149"/>
      <c r="F15" s="150"/>
      <c r="G15" s="152" t="s">
        <v>255</v>
      </c>
      <c r="H15" s="151">
        <v>3044400.0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1"/>
      <c r="B16" s="11"/>
      <c r="C16" s="155"/>
      <c r="D16" s="156"/>
      <c r="E16" s="149"/>
      <c r="F16" s="150"/>
      <c r="G16" s="149" t="s">
        <v>257</v>
      </c>
      <c r="H16" s="150">
        <v>590000.0</v>
      </c>
      <c r="I16" s="1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1"/>
      <c r="B17" s="11"/>
      <c r="C17" s="155"/>
      <c r="D17" s="156"/>
      <c r="E17" s="149"/>
      <c r="F17" s="150"/>
      <c r="G17" s="149" t="s">
        <v>192</v>
      </c>
      <c r="H17" s="150">
        <v>29500.0</v>
      </c>
      <c r="I17" s="1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1"/>
      <c r="B18" s="11"/>
      <c r="C18" s="157"/>
      <c r="D18" s="158">
        <f>SUM(D9:D17)</f>
        <v>1649300</v>
      </c>
      <c r="E18" s="159"/>
      <c r="F18" s="158">
        <f>SUM(F9:F17)</f>
        <v>8270800</v>
      </c>
      <c r="G18" s="155"/>
      <c r="H18" s="158">
        <f>SUM(H9:H17)</f>
        <v>9487200</v>
      </c>
      <c r="I18" s="1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"/>
      <c r="B19" s="11"/>
      <c r="C19" s="11"/>
      <c r="D19" s="12"/>
      <c r="E19" s="39"/>
      <c r="F19" s="12"/>
      <c r="G19" s="160"/>
      <c r="H19" s="161"/>
      <c r="I19" s="1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/>
      <c r="B20" s="11"/>
      <c r="C20" s="4"/>
      <c r="D20" s="12"/>
      <c r="E20" s="39"/>
      <c r="F20" s="12"/>
      <c r="G20" s="143"/>
      <c r="H20" s="162"/>
      <c r="I20" s="1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"/>
      <c r="B21" s="11"/>
      <c r="C21" s="4"/>
      <c r="D21" s="12"/>
      <c r="E21" s="39"/>
      <c r="F21" s="12"/>
      <c r="G21" s="143"/>
      <c r="H21" s="16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/>
      <c r="B22" s="11"/>
      <c r="C22" s="4"/>
      <c r="D22" s="12"/>
      <c r="E22" s="39"/>
      <c r="F22" s="12"/>
      <c r="G22" s="143"/>
      <c r="H22" s="16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"/>
      <c r="B23" s="11"/>
      <c r="C23" s="4"/>
      <c r="D23" s="12"/>
      <c r="E23" s="4"/>
      <c r="F23" s="65"/>
      <c r="G23" s="143"/>
      <c r="H23" s="16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/>
      <c r="B24" s="4"/>
      <c r="C24" s="4"/>
      <c r="D24" s="12"/>
      <c r="E24" s="4"/>
      <c r="F24" s="12"/>
      <c r="G24" s="143"/>
      <c r="H24" s="16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12"/>
      <c r="E25" s="45">
        <v>405.0</v>
      </c>
      <c r="F25" s="45" t="s">
        <v>16</v>
      </c>
      <c r="G25" s="73"/>
      <c r="H25" s="163">
        <v>45910.0</v>
      </c>
      <c r="I25" s="65">
        <v>427517.0</v>
      </c>
      <c r="J25" s="73"/>
      <c r="K25" s="165"/>
      <c r="L25" s="166"/>
      <c r="M25" s="167" t="s">
        <v>265</v>
      </c>
      <c r="N25" s="166"/>
      <c r="O25" s="166"/>
    </row>
    <row r="26">
      <c r="A26" s="4"/>
      <c r="B26" s="4"/>
      <c r="C26" s="4"/>
      <c r="D26" s="12"/>
      <c r="E26" s="45">
        <v>406.0</v>
      </c>
      <c r="F26" s="45" t="s">
        <v>16</v>
      </c>
      <c r="G26" s="73"/>
      <c r="H26" s="163">
        <v>45910.0</v>
      </c>
      <c r="I26" s="65">
        <v>103440.0</v>
      </c>
      <c r="J26" s="73"/>
      <c r="K26" s="165"/>
      <c r="L26" s="166"/>
      <c r="M26" s="167" t="s">
        <v>265</v>
      </c>
      <c r="N26" s="166"/>
      <c r="O26" s="166"/>
    </row>
    <row r="27">
      <c r="A27" s="4"/>
      <c r="B27" s="4"/>
      <c r="C27" s="11"/>
      <c r="D27" s="168"/>
      <c r="E27" s="45">
        <v>407.0</v>
      </c>
      <c r="F27" s="45" t="s">
        <v>16</v>
      </c>
      <c r="G27" s="73"/>
      <c r="H27" s="163">
        <v>45910.0</v>
      </c>
      <c r="I27" s="65">
        <v>22163.0</v>
      </c>
      <c r="J27" s="73"/>
      <c r="K27" s="165"/>
      <c r="L27" s="166"/>
      <c r="M27" s="167" t="s">
        <v>265</v>
      </c>
      <c r="N27" s="166"/>
      <c r="O27" s="166"/>
    </row>
    <row r="28">
      <c r="A28" s="4"/>
      <c r="B28" s="4"/>
      <c r="C28" s="54"/>
      <c r="D28" s="12"/>
      <c r="E28" s="45">
        <v>408.0</v>
      </c>
      <c r="F28" s="45" t="s">
        <v>16</v>
      </c>
      <c r="G28" s="73"/>
      <c r="H28" s="163">
        <v>45911.0</v>
      </c>
      <c r="I28" s="65">
        <v>9000.0</v>
      </c>
      <c r="J28" s="73"/>
      <c r="K28" s="165"/>
      <c r="L28" s="166"/>
      <c r="M28" s="167" t="s">
        <v>265</v>
      </c>
      <c r="N28" s="166"/>
      <c r="O28" s="166"/>
    </row>
    <row r="29">
      <c r="A29" s="4"/>
      <c r="B29" s="4"/>
      <c r="C29" s="54"/>
      <c r="D29" s="12"/>
      <c r="E29" s="4"/>
      <c r="F29" s="12"/>
      <c r="G29" s="4"/>
      <c r="H29" s="1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11"/>
      <c r="D30" s="12"/>
      <c r="E30" s="4"/>
      <c r="F30" s="169"/>
      <c r="G30" s="11" t="s">
        <v>33</v>
      </c>
      <c r="H30" s="1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12"/>
      <c r="E31" s="4"/>
      <c r="F31" s="170"/>
      <c r="G31" s="149" t="s">
        <v>194</v>
      </c>
      <c r="H31" s="150">
        <v>3050300.0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12"/>
      <c r="E32" s="4"/>
      <c r="F32" s="12"/>
      <c r="G32" s="149" t="s">
        <v>201</v>
      </c>
      <c r="H32" s="150">
        <v>619500.0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12"/>
      <c r="E33" s="4"/>
      <c r="F33" s="12"/>
      <c r="G33" s="149" t="s">
        <v>207</v>
      </c>
      <c r="H33" s="150">
        <v>324500.0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12"/>
      <c r="E34" s="4"/>
      <c r="F34" s="12"/>
      <c r="G34" s="149" t="s">
        <v>249</v>
      </c>
      <c r="H34" s="150">
        <f>800000+144000</f>
        <v>944000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12"/>
      <c r="E35" s="4"/>
      <c r="F35" s="12"/>
      <c r="G35" s="149" t="s">
        <v>214</v>
      </c>
      <c r="H35" s="150">
        <v>767000.0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12"/>
      <c r="E36" s="4"/>
      <c r="F36" s="12"/>
      <c r="G36" s="149" t="s">
        <v>253</v>
      </c>
      <c r="H36" s="150">
        <v>118000.0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12"/>
      <c r="E37" s="4"/>
      <c r="F37" s="12"/>
      <c r="G37" s="171" t="s">
        <v>255</v>
      </c>
      <c r="H37" s="172">
        <v>3044400.0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12"/>
      <c r="E38" s="4"/>
      <c r="F38" s="12"/>
      <c r="G38" s="149" t="s">
        <v>192</v>
      </c>
      <c r="H38" s="150">
        <v>29500.0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12"/>
      <c r="E39" s="4"/>
      <c r="F39" s="12"/>
      <c r="G39" s="4"/>
      <c r="H39" s="1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12"/>
      <c r="E40" s="4"/>
      <c r="F40" s="12"/>
      <c r="G40" s="4"/>
      <c r="H40" s="1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12"/>
      <c r="E41" s="4"/>
      <c r="F41" s="12"/>
      <c r="G41" s="4"/>
      <c r="H41" s="1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12"/>
      <c r="E42" s="4"/>
      <c r="F42" s="12"/>
      <c r="G42" s="4"/>
      <c r="H42" s="1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12"/>
      <c r="E43" s="4"/>
      <c r="F43" s="12"/>
      <c r="G43" s="4"/>
      <c r="H43" s="1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12"/>
      <c r="E44" s="4"/>
      <c r="F44" s="12"/>
      <c r="G44" s="4"/>
      <c r="H44" s="1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12"/>
      <c r="E45" s="4"/>
      <c r="F45" s="12"/>
      <c r="G45" s="4"/>
      <c r="H45" s="1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12"/>
      <c r="E46" s="4"/>
      <c r="F46" s="12"/>
      <c r="G46" s="4"/>
      <c r="H46" s="1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12"/>
      <c r="E47" s="4"/>
      <c r="F47" s="12"/>
      <c r="G47" s="4"/>
      <c r="H47" s="1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12"/>
      <c r="E48" s="4"/>
      <c r="F48" s="12"/>
      <c r="G48" s="4"/>
      <c r="H48" s="1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12"/>
      <c r="E49" s="4"/>
      <c r="F49" s="12"/>
      <c r="G49" s="4"/>
      <c r="H49" s="1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12"/>
      <c r="E50" s="4"/>
      <c r="F50" s="12"/>
      <c r="G50" s="4"/>
      <c r="H50" s="1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12"/>
      <c r="E51" s="4"/>
      <c r="F51" s="12"/>
      <c r="G51" s="4"/>
      <c r="H51" s="1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12"/>
      <c r="E52" s="4"/>
      <c r="F52" s="12"/>
      <c r="G52" s="4"/>
      <c r="H52" s="1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12"/>
      <c r="E53" s="4"/>
      <c r="F53" s="12"/>
      <c r="G53" s="4"/>
      <c r="H53" s="1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12"/>
      <c r="E54" s="4"/>
      <c r="F54" s="12"/>
      <c r="G54" s="4"/>
      <c r="H54" s="1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12"/>
      <c r="E55" s="4"/>
      <c r="F55" s="12"/>
      <c r="G55" s="4"/>
      <c r="H55" s="1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12"/>
      <c r="E56" s="4"/>
      <c r="F56" s="12"/>
      <c r="G56" s="4"/>
      <c r="H56" s="1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12"/>
      <c r="E57" s="4"/>
      <c r="F57" s="12"/>
      <c r="G57" s="4"/>
      <c r="H57" s="1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12"/>
      <c r="E58" s="4"/>
      <c r="F58" s="12"/>
      <c r="G58" s="4"/>
      <c r="H58" s="1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12"/>
      <c r="E59" s="4"/>
      <c r="F59" s="12"/>
      <c r="G59" s="4"/>
      <c r="H59" s="1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12"/>
      <c r="E60" s="4"/>
      <c r="F60" s="12"/>
      <c r="G60" s="4"/>
      <c r="H60" s="1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12"/>
      <c r="E61" s="4"/>
      <c r="F61" s="12"/>
      <c r="G61" s="4"/>
      <c r="H61" s="1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12"/>
      <c r="E62" s="4"/>
      <c r="F62" s="12"/>
      <c r="G62" s="4"/>
      <c r="H62" s="1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12"/>
      <c r="E63" s="4"/>
      <c r="F63" s="12"/>
      <c r="G63" s="4"/>
      <c r="H63" s="1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12"/>
      <c r="E64" s="4"/>
      <c r="F64" s="12"/>
      <c r="G64" s="4"/>
      <c r="H64" s="1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12"/>
      <c r="E65" s="4"/>
      <c r="F65" s="12"/>
      <c r="G65" s="4"/>
      <c r="H65" s="1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12"/>
      <c r="E66" s="4"/>
      <c r="F66" s="12"/>
      <c r="G66" s="4"/>
      <c r="H66" s="1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12"/>
      <c r="E67" s="4"/>
      <c r="F67" s="12"/>
      <c r="G67" s="4"/>
      <c r="H67" s="1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12"/>
      <c r="E68" s="4"/>
      <c r="F68" s="12"/>
      <c r="G68" s="4"/>
      <c r="H68" s="1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12"/>
      <c r="E69" s="4"/>
      <c r="F69" s="12"/>
      <c r="G69" s="4"/>
      <c r="H69" s="1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12"/>
      <c r="E70" s="4"/>
      <c r="F70" s="12"/>
      <c r="G70" s="4"/>
      <c r="H70" s="1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12"/>
      <c r="E71" s="4"/>
      <c r="F71" s="12"/>
      <c r="G71" s="4"/>
      <c r="H71" s="1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12"/>
      <c r="E72" s="4"/>
      <c r="F72" s="12"/>
      <c r="G72" s="4"/>
      <c r="H72" s="1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12"/>
      <c r="E73" s="4"/>
      <c r="F73" s="12"/>
      <c r="G73" s="4"/>
      <c r="H73" s="1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12"/>
      <c r="E74" s="4"/>
      <c r="F74" s="12"/>
      <c r="G74" s="4"/>
      <c r="H74" s="1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12"/>
      <c r="E75" s="4"/>
      <c r="F75" s="12"/>
      <c r="G75" s="4"/>
      <c r="H75" s="1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12"/>
      <c r="E76" s="4"/>
      <c r="F76" s="12"/>
      <c r="G76" s="4"/>
      <c r="H76" s="1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12"/>
      <c r="E77" s="4"/>
      <c r="F77" s="12"/>
      <c r="G77" s="4"/>
      <c r="H77" s="1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12"/>
      <c r="E78" s="4"/>
      <c r="F78" s="12"/>
      <c r="G78" s="4"/>
      <c r="H78" s="1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12"/>
      <c r="E79" s="4"/>
      <c r="F79" s="12"/>
      <c r="G79" s="4"/>
      <c r="H79" s="1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12"/>
      <c r="E80" s="4"/>
      <c r="F80" s="12"/>
      <c r="G80" s="4"/>
      <c r="H80" s="1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12"/>
      <c r="E81" s="4"/>
      <c r="F81" s="12"/>
      <c r="G81" s="4"/>
      <c r="H81" s="1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12"/>
      <c r="E82" s="4"/>
      <c r="F82" s="12"/>
      <c r="G82" s="4"/>
      <c r="H82" s="1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12"/>
      <c r="E83" s="4"/>
      <c r="F83" s="12"/>
      <c r="G83" s="4"/>
      <c r="H83" s="1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12"/>
      <c r="E84" s="4"/>
      <c r="F84" s="12"/>
      <c r="G84" s="4"/>
      <c r="H84" s="1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12"/>
      <c r="E85" s="4"/>
      <c r="F85" s="12"/>
      <c r="G85" s="4"/>
      <c r="H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12"/>
      <c r="E86" s="4"/>
      <c r="F86" s="12"/>
      <c r="G86" s="4"/>
      <c r="H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12"/>
      <c r="E87" s="4"/>
      <c r="F87" s="12"/>
      <c r="G87" s="4"/>
      <c r="H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12"/>
      <c r="E88" s="4"/>
      <c r="F88" s="12"/>
      <c r="G88" s="4"/>
      <c r="H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12"/>
      <c r="E89" s="4"/>
      <c r="F89" s="12"/>
      <c r="G89" s="4"/>
      <c r="H89" s="1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12"/>
      <c r="E90" s="4"/>
      <c r="F90" s="12"/>
      <c r="G90" s="4"/>
      <c r="H90" s="1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12"/>
      <c r="E91" s="4"/>
      <c r="F91" s="12"/>
      <c r="G91" s="4"/>
      <c r="H91" s="1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12"/>
      <c r="E92" s="4"/>
      <c r="F92" s="12"/>
      <c r="G92" s="4"/>
      <c r="H92" s="1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12"/>
      <c r="E93" s="4"/>
      <c r="F93" s="12"/>
      <c r="G93" s="4"/>
      <c r="H93" s="1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12"/>
      <c r="E94" s="4"/>
      <c r="F94" s="12"/>
      <c r="G94" s="4"/>
      <c r="H94" s="1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12"/>
      <c r="E95" s="4"/>
      <c r="F95" s="12"/>
      <c r="G95" s="4"/>
      <c r="H95" s="1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12"/>
      <c r="E96" s="4"/>
      <c r="F96" s="12"/>
      <c r="G96" s="4"/>
      <c r="H96" s="1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12"/>
      <c r="E97" s="4"/>
      <c r="F97" s="12"/>
      <c r="G97" s="4"/>
      <c r="H97" s="1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12"/>
      <c r="E98" s="4"/>
      <c r="F98" s="12"/>
      <c r="G98" s="4"/>
      <c r="H98" s="1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12"/>
      <c r="E99" s="4"/>
      <c r="F99" s="12"/>
      <c r="G99" s="4"/>
      <c r="H99" s="1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12"/>
      <c r="E100" s="4"/>
      <c r="F100" s="12"/>
      <c r="G100" s="4"/>
      <c r="H100" s="1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12"/>
      <c r="E101" s="4"/>
      <c r="F101" s="12"/>
      <c r="G101" s="4"/>
      <c r="H101" s="1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12"/>
      <c r="E102" s="4"/>
      <c r="F102" s="12"/>
      <c r="G102" s="4"/>
      <c r="H102" s="1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12"/>
      <c r="E103" s="4"/>
      <c r="F103" s="12"/>
      <c r="G103" s="4"/>
      <c r="H103" s="1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12"/>
      <c r="E104" s="4"/>
      <c r="F104" s="12"/>
      <c r="G104" s="4"/>
      <c r="H104" s="1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12"/>
      <c r="E105" s="4"/>
      <c r="F105" s="12"/>
      <c r="G105" s="4"/>
      <c r="H105" s="1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12"/>
      <c r="E106" s="4"/>
      <c r="F106" s="12"/>
      <c r="G106" s="4"/>
      <c r="H106" s="1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12"/>
      <c r="E107" s="4"/>
      <c r="F107" s="12"/>
      <c r="G107" s="4"/>
      <c r="H107" s="1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12"/>
      <c r="E108" s="4"/>
      <c r="F108" s="12"/>
      <c r="G108" s="4"/>
      <c r="H108" s="1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12"/>
      <c r="E109" s="4"/>
      <c r="F109" s="12"/>
      <c r="G109" s="4"/>
      <c r="H109" s="1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12"/>
      <c r="E110" s="4"/>
      <c r="F110" s="12"/>
      <c r="G110" s="4"/>
      <c r="H110" s="1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12"/>
      <c r="E111" s="4"/>
      <c r="F111" s="12"/>
      <c r="G111" s="4"/>
      <c r="H111" s="1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12"/>
      <c r="E112" s="4"/>
      <c r="F112" s="12"/>
      <c r="G112" s="4"/>
      <c r="H112" s="1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12"/>
      <c r="E113" s="4"/>
      <c r="F113" s="12"/>
      <c r="G113" s="4"/>
      <c r="H113" s="1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12"/>
      <c r="E114" s="4"/>
      <c r="F114" s="12"/>
      <c r="G114" s="4"/>
      <c r="H114" s="1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12"/>
      <c r="E115" s="4"/>
      <c r="F115" s="12"/>
      <c r="G115" s="4"/>
      <c r="H115" s="1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12"/>
      <c r="E116" s="4"/>
      <c r="F116" s="12"/>
      <c r="G116" s="4"/>
      <c r="H116" s="1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12"/>
      <c r="E117" s="4"/>
      <c r="F117" s="12"/>
      <c r="G117" s="4"/>
      <c r="H117" s="1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12"/>
      <c r="E118" s="4"/>
      <c r="F118" s="12"/>
      <c r="G118" s="4"/>
      <c r="H118" s="1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12"/>
      <c r="E119" s="4"/>
      <c r="F119" s="12"/>
      <c r="G119" s="4"/>
      <c r="H119" s="1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12"/>
      <c r="E120" s="4"/>
      <c r="F120" s="12"/>
      <c r="G120" s="4"/>
      <c r="H120" s="1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12"/>
      <c r="E121" s="4"/>
      <c r="F121" s="12"/>
      <c r="G121" s="4"/>
      <c r="H121" s="1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12"/>
      <c r="E122" s="4"/>
      <c r="F122" s="12"/>
      <c r="G122" s="4"/>
      <c r="H122" s="1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12"/>
      <c r="E123" s="4"/>
      <c r="F123" s="12"/>
      <c r="G123" s="4"/>
      <c r="H123" s="1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12"/>
      <c r="E124" s="4"/>
      <c r="F124" s="12"/>
      <c r="G124" s="4"/>
      <c r="H124" s="1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12"/>
      <c r="E125" s="4"/>
      <c r="F125" s="12"/>
      <c r="G125" s="4"/>
      <c r="H125" s="1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12"/>
      <c r="E126" s="4"/>
      <c r="F126" s="12"/>
      <c r="G126" s="4"/>
      <c r="H126" s="1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12"/>
      <c r="E127" s="4"/>
      <c r="F127" s="12"/>
      <c r="G127" s="4"/>
      <c r="H127" s="1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12"/>
      <c r="E128" s="4"/>
      <c r="F128" s="12"/>
      <c r="G128" s="4"/>
      <c r="H128" s="1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12"/>
      <c r="E129" s="4"/>
      <c r="F129" s="12"/>
      <c r="G129" s="4"/>
      <c r="H129" s="1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12"/>
      <c r="E130" s="4"/>
      <c r="F130" s="12"/>
      <c r="G130" s="4"/>
      <c r="H130" s="1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12"/>
      <c r="E131" s="4"/>
      <c r="F131" s="12"/>
      <c r="G131" s="4"/>
      <c r="H131" s="1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12"/>
      <c r="E132" s="4"/>
      <c r="F132" s="12"/>
      <c r="G132" s="4"/>
      <c r="H132" s="1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12"/>
      <c r="E133" s="4"/>
      <c r="F133" s="12"/>
      <c r="G133" s="4"/>
      <c r="H133" s="1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12"/>
      <c r="E134" s="4"/>
      <c r="F134" s="12"/>
      <c r="G134" s="4"/>
      <c r="H134" s="1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12"/>
      <c r="E135" s="4"/>
      <c r="F135" s="12"/>
      <c r="G135" s="4"/>
      <c r="H135" s="1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12"/>
      <c r="E136" s="4"/>
      <c r="F136" s="12"/>
      <c r="G136" s="4"/>
      <c r="H136" s="1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12"/>
      <c r="E137" s="4"/>
      <c r="F137" s="12"/>
      <c r="G137" s="4"/>
      <c r="H137" s="1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12"/>
      <c r="E138" s="4"/>
      <c r="F138" s="12"/>
      <c r="G138" s="4"/>
      <c r="H138" s="1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12"/>
      <c r="E139" s="4"/>
      <c r="F139" s="12"/>
      <c r="G139" s="4"/>
      <c r="H139" s="1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12"/>
      <c r="E140" s="4"/>
      <c r="F140" s="12"/>
      <c r="G140" s="4"/>
      <c r="H140" s="1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12"/>
      <c r="E141" s="4"/>
      <c r="F141" s="12"/>
      <c r="G141" s="4"/>
      <c r="H141" s="1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12"/>
      <c r="E142" s="4"/>
      <c r="F142" s="12"/>
      <c r="G142" s="4"/>
      <c r="H142" s="1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12"/>
      <c r="E143" s="4"/>
      <c r="F143" s="12"/>
      <c r="G143" s="4"/>
      <c r="H143" s="1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12"/>
      <c r="E144" s="4"/>
      <c r="F144" s="12"/>
      <c r="G144" s="4"/>
      <c r="H144" s="1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12"/>
      <c r="E145" s="4"/>
      <c r="F145" s="12"/>
      <c r="G145" s="4"/>
      <c r="H145" s="1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12"/>
      <c r="E146" s="4"/>
      <c r="F146" s="12"/>
      <c r="G146" s="4"/>
      <c r="H146" s="1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12"/>
      <c r="E147" s="4"/>
      <c r="F147" s="12"/>
      <c r="G147" s="4"/>
      <c r="H147" s="1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12"/>
      <c r="E148" s="4"/>
      <c r="F148" s="12"/>
      <c r="G148" s="4"/>
      <c r="H148" s="1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12"/>
      <c r="E149" s="4"/>
      <c r="F149" s="12"/>
      <c r="G149" s="4"/>
      <c r="H149" s="1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12"/>
      <c r="E150" s="4"/>
      <c r="F150" s="12"/>
      <c r="G150" s="4"/>
      <c r="H150" s="1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12"/>
      <c r="E151" s="4"/>
      <c r="F151" s="12"/>
      <c r="G151" s="4"/>
      <c r="H151" s="1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12"/>
      <c r="E152" s="4"/>
      <c r="F152" s="12"/>
      <c r="G152" s="4"/>
      <c r="H152" s="1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12"/>
      <c r="E153" s="4"/>
      <c r="F153" s="12"/>
      <c r="G153" s="4"/>
      <c r="H153" s="1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12"/>
      <c r="E154" s="4"/>
      <c r="F154" s="12"/>
      <c r="G154" s="4"/>
      <c r="H154" s="1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12"/>
      <c r="E155" s="4"/>
      <c r="F155" s="12"/>
      <c r="G155" s="4"/>
      <c r="H155" s="1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12"/>
      <c r="E156" s="4"/>
      <c r="F156" s="12"/>
      <c r="G156" s="4"/>
      <c r="H156" s="1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12"/>
      <c r="E157" s="4"/>
      <c r="F157" s="12"/>
      <c r="G157" s="4"/>
      <c r="H157" s="1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12"/>
      <c r="E158" s="4"/>
      <c r="F158" s="12"/>
      <c r="G158" s="4"/>
      <c r="H158" s="1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12"/>
      <c r="E159" s="4"/>
      <c r="F159" s="12"/>
      <c r="G159" s="4"/>
      <c r="H159" s="1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12"/>
      <c r="E160" s="4"/>
      <c r="F160" s="12"/>
      <c r="G160" s="4"/>
      <c r="H160" s="1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12"/>
      <c r="E161" s="4"/>
      <c r="F161" s="12"/>
      <c r="G161" s="4"/>
      <c r="H161" s="1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12"/>
      <c r="E162" s="4"/>
      <c r="F162" s="12"/>
      <c r="G162" s="4"/>
      <c r="H162" s="1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12"/>
      <c r="E163" s="4"/>
      <c r="F163" s="12"/>
      <c r="G163" s="4"/>
      <c r="H163" s="1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12"/>
      <c r="E164" s="4"/>
      <c r="F164" s="12"/>
      <c r="G164" s="4"/>
      <c r="H164" s="1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12"/>
      <c r="E165" s="4"/>
      <c r="F165" s="12"/>
      <c r="G165" s="4"/>
      <c r="H165" s="1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12"/>
      <c r="E166" s="4"/>
      <c r="F166" s="12"/>
      <c r="G166" s="4"/>
      <c r="H166" s="1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12"/>
      <c r="E167" s="4"/>
      <c r="F167" s="12"/>
      <c r="G167" s="4"/>
      <c r="H167" s="1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12"/>
      <c r="E168" s="4"/>
      <c r="F168" s="12"/>
      <c r="G168" s="4"/>
      <c r="H168" s="1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12"/>
      <c r="E169" s="4"/>
      <c r="F169" s="12"/>
      <c r="G169" s="4"/>
      <c r="H169" s="1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12"/>
      <c r="E170" s="4"/>
      <c r="F170" s="12"/>
      <c r="G170" s="4"/>
      <c r="H170" s="1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12"/>
      <c r="E171" s="4"/>
      <c r="F171" s="12"/>
      <c r="G171" s="4"/>
      <c r="H171" s="1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12"/>
      <c r="E172" s="4"/>
      <c r="F172" s="12"/>
      <c r="G172" s="4"/>
      <c r="H172" s="1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12"/>
      <c r="E173" s="4"/>
      <c r="F173" s="12"/>
      <c r="G173" s="4"/>
      <c r="H173" s="1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12"/>
      <c r="E174" s="4"/>
      <c r="F174" s="12"/>
      <c r="G174" s="4"/>
      <c r="H174" s="1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12"/>
      <c r="E175" s="4"/>
      <c r="F175" s="12"/>
      <c r="G175" s="4"/>
      <c r="H175" s="1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12"/>
      <c r="E176" s="4"/>
      <c r="F176" s="12"/>
      <c r="G176" s="4"/>
      <c r="H176" s="1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12"/>
      <c r="E177" s="4"/>
      <c r="F177" s="12"/>
      <c r="G177" s="4"/>
      <c r="H177" s="1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12"/>
      <c r="E178" s="4"/>
      <c r="F178" s="12"/>
      <c r="G178" s="4"/>
      <c r="H178" s="1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12"/>
      <c r="E179" s="4"/>
      <c r="F179" s="12"/>
      <c r="G179" s="4"/>
      <c r="H179" s="1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12"/>
      <c r="E180" s="4"/>
      <c r="F180" s="12"/>
      <c r="G180" s="4"/>
      <c r="H180" s="1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12"/>
      <c r="E181" s="4"/>
      <c r="F181" s="12"/>
      <c r="G181" s="4"/>
      <c r="H181" s="1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12"/>
      <c r="E182" s="4"/>
      <c r="F182" s="12"/>
      <c r="G182" s="4"/>
      <c r="H182" s="1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12"/>
      <c r="E183" s="4"/>
      <c r="F183" s="12"/>
      <c r="G183" s="4"/>
      <c r="H183" s="1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12"/>
      <c r="E184" s="4"/>
      <c r="F184" s="12"/>
      <c r="G184" s="4"/>
      <c r="H184" s="1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12"/>
      <c r="E185" s="4"/>
      <c r="F185" s="12"/>
      <c r="G185" s="4"/>
      <c r="H185" s="1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12"/>
      <c r="E186" s="4"/>
      <c r="F186" s="12"/>
      <c r="G186" s="4"/>
      <c r="H186" s="1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12"/>
      <c r="E187" s="4"/>
      <c r="F187" s="12"/>
      <c r="G187" s="4"/>
      <c r="H187" s="1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12"/>
      <c r="E188" s="4"/>
      <c r="F188" s="12"/>
      <c r="G188" s="4"/>
      <c r="H188" s="1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12"/>
      <c r="E189" s="4"/>
      <c r="F189" s="12"/>
      <c r="G189" s="4"/>
      <c r="H189" s="1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12"/>
      <c r="E190" s="4"/>
      <c r="F190" s="12"/>
      <c r="G190" s="4"/>
      <c r="H190" s="1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12"/>
      <c r="E191" s="4"/>
      <c r="F191" s="12"/>
      <c r="G191" s="4"/>
      <c r="H191" s="1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12"/>
      <c r="E192" s="4"/>
      <c r="F192" s="12"/>
      <c r="G192" s="4"/>
      <c r="H192" s="1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12"/>
      <c r="E193" s="4"/>
      <c r="F193" s="12"/>
      <c r="G193" s="4"/>
      <c r="H193" s="1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12"/>
      <c r="E194" s="4"/>
      <c r="F194" s="12"/>
      <c r="G194" s="4"/>
      <c r="H194" s="1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12"/>
      <c r="E195" s="4"/>
      <c r="F195" s="12"/>
      <c r="G195" s="4"/>
      <c r="H195" s="1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12"/>
      <c r="E196" s="4"/>
      <c r="F196" s="12"/>
      <c r="G196" s="4"/>
      <c r="H196" s="1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12"/>
      <c r="E197" s="4"/>
      <c r="F197" s="12"/>
      <c r="G197" s="4"/>
      <c r="H197" s="1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12"/>
      <c r="E198" s="4"/>
      <c r="F198" s="12"/>
      <c r="G198" s="4"/>
      <c r="H198" s="1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12"/>
      <c r="E199" s="4"/>
      <c r="F199" s="12"/>
      <c r="G199" s="4"/>
      <c r="H199" s="1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12"/>
      <c r="E200" s="4"/>
      <c r="F200" s="12"/>
      <c r="G200" s="4"/>
      <c r="H200" s="1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12"/>
      <c r="E201" s="4"/>
      <c r="F201" s="12"/>
      <c r="G201" s="4"/>
      <c r="H201" s="1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12"/>
      <c r="E202" s="4"/>
      <c r="F202" s="12"/>
      <c r="G202" s="4"/>
      <c r="H202" s="1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12"/>
      <c r="E203" s="4"/>
      <c r="F203" s="12"/>
      <c r="G203" s="4"/>
      <c r="H203" s="1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12"/>
      <c r="E204" s="4"/>
      <c r="F204" s="12"/>
      <c r="G204" s="4"/>
      <c r="H204" s="1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12"/>
      <c r="E205" s="4"/>
      <c r="F205" s="12"/>
      <c r="G205" s="4"/>
      <c r="H205" s="1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12"/>
      <c r="E206" s="4"/>
      <c r="F206" s="12"/>
      <c r="G206" s="4"/>
      <c r="H206" s="1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12"/>
      <c r="E207" s="4"/>
      <c r="F207" s="12"/>
      <c r="G207" s="4"/>
      <c r="H207" s="1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12"/>
      <c r="E208" s="4"/>
      <c r="F208" s="12"/>
      <c r="G208" s="4"/>
      <c r="H208" s="1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12"/>
      <c r="E209" s="4"/>
      <c r="F209" s="12"/>
      <c r="G209" s="4"/>
      <c r="H209" s="1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12"/>
      <c r="E210" s="4"/>
      <c r="F210" s="12"/>
      <c r="G210" s="4"/>
      <c r="H210" s="1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12"/>
      <c r="E211" s="4"/>
      <c r="F211" s="12"/>
      <c r="G211" s="4"/>
      <c r="H211" s="1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12"/>
      <c r="E212" s="4"/>
      <c r="F212" s="12"/>
      <c r="G212" s="4"/>
      <c r="H212" s="1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12"/>
      <c r="E213" s="4"/>
      <c r="F213" s="12"/>
      <c r="G213" s="4"/>
      <c r="H213" s="1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12"/>
      <c r="E214" s="4"/>
      <c r="F214" s="12"/>
      <c r="G214" s="4"/>
      <c r="H214" s="1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12"/>
      <c r="E215" s="4"/>
      <c r="F215" s="12"/>
      <c r="G215" s="4"/>
      <c r="H215" s="1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12"/>
      <c r="E216" s="4"/>
      <c r="F216" s="12"/>
      <c r="G216" s="4"/>
      <c r="H216" s="1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12"/>
      <c r="E217" s="4"/>
      <c r="F217" s="12"/>
      <c r="G217" s="4"/>
      <c r="H217" s="1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12"/>
      <c r="E218" s="4"/>
      <c r="F218" s="12"/>
      <c r="G218" s="4"/>
      <c r="H218" s="1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12"/>
      <c r="E219" s="4"/>
      <c r="F219" s="12"/>
      <c r="G219" s="4"/>
      <c r="H219" s="1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12"/>
      <c r="E220" s="4"/>
      <c r="F220" s="12"/>
      <c r="G220" s="4"/>
      <c r="H220" s="1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12"/>
      <c r="E221" s="4"/>
      <c r="F221" s="12"/>
      <c r="G221" s="4"/>
      <c r="H221" s="1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12"/>
      <c r="E222" s="4"/>
      <c r="F222" s="12"/>
      <c r="G222" s="4"/>
      <c r="H222" s="1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12"/>
      <c r="E223" s="4"/>
      <c r="F223" s="12"/>
      <c r="G223" s="4"/>
      <c r="H223" s="1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12"/>
      <c r="E224" s="4"/>
      <c r="F224" s="12"/>
      <c r="G224" s="4"/>
      <c r="H224" s="1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12"/>
      <c r="E225" s="4"/>
      <c r="F225" s="12"/>
      <c r="G225" s="4"/>
      <c r="H225" s="1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12"/>
      <c r="E226" s="4"/>
      <c r="F226" s="12"/>
      <c r="G226" s="4"/>
      <c r="H226" s="1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12"/>
      <c r="E227" s="4"/>
      <c r="F227" s="12"/>
      <c r="G227" s="4"/>
      <c r="H227" s="1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12"/>
      <c r="E228" s="4"/>
      <c r="F228" s="12"/>
      <c r="G228" s="4"/>
      <c r="H228" s="1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12"/>
      <c r="E229" s="4"/>
      <c r="F229" s="12"/>
      <c r="G229" s="4"/>
      <c r="H229" s="1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12"/>
      <c r="E230" s="4"/>
      <c r="F230" s="12"/>
      <c r="G230" s="4"/>
      <c r="H230" s="1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12"/>
      <c r="E231" s="4"/>
      <c r="F231" s="12"/>
      <c r="G231" s="4"/>
      <c r="H231" s="1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12"/>
      <c r="E232" s="4"/>
      <c r="F232" s="12"/>
      <c r="G232" s="4"/>
      <c r="H232" s="1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12"/>
      <c r="E233" s="4"/>
      <c r="F233" s="12"/>
      <c r="G233" s="4"/>
      <c r="H233" s="1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12"/>
      <c r="E234" s="4"/>
      <c r="F234" s="12"/>
      <c r="G234" s="4"/>
      <c r="H234" s="1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12"/>
      <c r="E235" s="4"/>
      <c r="F235" s="12"/>
      <c r="G235" s="4"/>
      <c r="H235" s="1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12"/>
      <c r="E236" s="4"/>
      <c r="F236" s="12"/>
      <c r="G236" s="4"/>
      <c r="H236" s="1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12"/>
      <c r="E237" s="4"/>
      <c r="F237" s="12"/>
      <c r="G237" s="4"/>
      <c r="H237" s="1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12"/>
      <c r="E238" s="4"/>
      <c r="F238" s="12"/>
      <c r="G238" s="4"/>
      <c r="H238" s="1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12"/>
      <c r="E239" s="4"/>
      <c r="F239" s="12"/>
      <c r="G239" s="4"/>
      <c r="H239" s="1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12"/>
      <c r="E240" s="4"/>
      <c r="F240" s="12"/>
      <c r="G240" s="4"/>
      <c r="H240" s="1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12"/>
      <c r="E241" s="4"/>
      <c r="F241" s="12"/>
      <c r="G241" s="4"/>
      <c r="H241" s="1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12"/>
      <c r="E242" s="4"/>
      <c r="F242" s="12"/>
      <c r="G242" s="4"/>
      <c r="H242" s="1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12"/>
      <c r="E243" s="4"/>
      <c r="F243" s="12"/>
      <c r="G243" s="4"/>
      <c r="H243" s="1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12"/>
      <c r="E244" s="4"/>
      <c r="F244" s="12"/>
      <c r="G244" s="4"/>
      <c r="H244" s="1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12"/>
      <c r="E245" s="4"/>
      <c r="F245" s="12"/>
      <c r="G245" s="4"/>
      <c r="H245" s="1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12"/>
      <c r="E246" s="4"/>
      <c r="F246" s="12"/>
      <c r="G246" s="4"/>
      <c r="H246" s="1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12"/>
      <c r="E247" s="4"/>
      <c r="F247" s="12"/>
      <c r="G247" s="4"/>
      <c r="H247" s="1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12"/>
      <c r="E248" s="4"/>
      <c r="F248" s="12"/>
      <c r="G248" s="4"/>
      <c r="H248" s="1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12"/>
      <c r="E249" s="4"/>
      <c r="F249" s="12"/>
      <c r="G249" s="4"/>
      <c r="H249" s="1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12"/>
      <c r="E250" s="4"/>
      <c r="F250" s="12"/>
      <c r="G250" s="4"/>
      <c r="H250" s="1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12"/>
      <c r="E251" s="4"/>
      <c r="F251" s="12"/>
      <c r="G251" s="4"/>
      <c r="H251" s="1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12"/>
      <c r="E252" s="4"/>
      <c r="F252" s="12"/>
      <c r="G252" s="4"/>
      <c r="H252" s="1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12"/>
      <c r="E253" s="4"/>
      <c r="F253" s="12"/>
      <c r="G253" s="4"/>
      <c r="H253" s="1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12"/>
      <c r="E254" s="4"/>
      <c r="F254" s="12"/>
      <c r="G254" s="4"/>
      <c r="H254" s="1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12"/>
      <c r="E255" s="4"/>
      <c r="F255" s="12"/>
      <c r="G255" s="4"/>
      <c r="H255" s="1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12"/>
      <c r="E256" s="4"/>
      <c r="F256" s="12"/>
      <c r="G256" s="4"/>
      <c r="H256" s="1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12"/>
      <c r="E257" s="4"/>
      <c r="F257" s="12"/>
      <c r="G257" s="4"/>
      <c r="H257" s="1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12"/>
      <c r="E258" s="4"/>
      <c r="F258" s="12"/>
      <c r="G258" s="4"/>
      <c r="H258" s="1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12"/>
      <c r="E259" s="4"/>
      <c r="F259" s="12"/>
      <c r="G259" s="4"/>
      <c r="H259" s="1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12"/>
      <c r="E260" s="4"/>
      <c r="F260" s="12"/>
      <c r="G260" s="4"/>
      <c r="H260" s="1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12"/>
      <c r="E261" s="4"/>
      <c r="F261" s="12"/>
      <c r="G261" s="4"/>
      <c r="H261" s="1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12"/>
      <c r="E262" s="4"/>
      <c r="F262" s="12"/>
      <c r="G262" s="4"/>
      <c r="H262" s="1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12"/>
      <c r="E263" s="4"/>
      <c r="F263" s="12"/>
      <c r="G263" s="4"/>
      <c r="H263" s="1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12"/>
      <c r="E264" s="4"/>
      <c r="F264" s="12"/>
      <c r="G264" s="4"/>
      <c r="H264" s="1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12"/>
      <c r="E265" s="4"/>
      <c r="F265" s="12"/>
      <c r="G265" s="4"/>
      <c r="H265" s="1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12"/>
      <c r="E266" s="4"/>
      <c r="F266" s="12"/>
      <c r="G266" s="4"/>
      <c r="H266" s="1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12"/>
      <c r="E267" s="4"/>
      <c r="F267" s="12"/>
      <c r="G267" s="4"/>
      <c r="H267" s="1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12"/>
      <c r="E268" s="4"/>
      <c r="F268" s="12"/>
      <c r="G268" s="4"/>
      <c r="H268" s="1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12"/>
      <c r="E269" s="4"/>
      <c r="F269" s="12"/>
      <c r="G269" s="4"/>
      <c r="H269" s="1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12"/>
      <c r="E270" s="4"/>
      <c r="F270" s="12"/>
      <c r="G270" s="4"/>
      <c r="H270" s="1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12"/>
      <c r="E271" s="4"/>
      <c r="F271" s="12"/>
      <c r="G271" s="4"/>
      <c r="H271" s="1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12"/>
      <c r="E272" s="4"/>
      <c r="F272" s="12"/>
      <c r="G272" s="4"/>
      <c r="H272" s="1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12"/>
      <c r="E273" s="4"/>
      <c r="F273" s="12"/>
      <c r="G273" s="4"/>
      <c r="H273" s="1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12"/>
      <c r="E274" s="4"/>
      <c r="F274" s="12"/>
      <c r="G274" s="4"/>
      <c r="H274" s="1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12"/>
      <c r="E275" s="4"/>
      <c r="F275" s="12"/>
      <c r="G275" s="4"/>
      <c r="H275" s="1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12"/>
      <c r="E276" s="4"/>
      <c r="F276" s="12"/>
      <c r="G276" s="4"/>
      <c r="H276" s="1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12"/>
      <c r="E277" s="4"/>
      <c r="F277" s="12"/>
      <c r="G277" s="4"/>
      <c r="H277" s="1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12"/>
      <c r="E278" s="4"/>
      <c r="F278" s="12"/>
      <c r="G278" s="4"/>
      <c r="H278" s="1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12"/>
      <c r="E279" s="4"/>
      <c r="F279" s="12"/>
      <c r="G279" s="4"/>
      <c r="H279" s="1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12"/>
      <c r="E280" s="4"/>
      <c r="F280" s="12"/>
      <c r="G280" s="4"/>
      <c r="H280" s="1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12"/>
      <c r="E281" s="4"/>
      <c r="F281" s="12"/>
      <c r="G281" s="4"/>
      <c r="H281" s="1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12"/>
      <c r="E282" s="4"/>
      <c r="F282" s="12"/>
      <c r="G282" s="4"/>
      <c r="H282" s="1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12"/>
      <c r="E283" s="4"/>
      <c r="F283" s="12"/>
      <c r="G283" s="4"/>
      <c r="H283" s="1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12"/>
      <c r="E284" s="4"/>
      <c r="F284" s="12"/>
      <c r="G284" s="4"/>
      <c r="H284" s="1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12"/>
      <c r="E285" s="4"/>
      <c r="F285" s="12"/>
      <c r="G285" s="4"/>
      <c r="H285" s="1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12"/>
      <c r="E286" s="4"/>
      <c r="F286" s="12"/>
      <c r="G286" s="4"/>
      <c r="H286" s="1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12"/>
      <c r="E287" s="4"/>
      <c r="F287" s="12"/>
      <c r="G287" s="4"/>
      <c r="H287" s="1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12"/>
      <c r="E288" s="4"/>
      <c r="F288" s="12"/>
      <c r="G288" s="4"/>
      <c r="H288" s="1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12"/>
      <c r="E289" s="4"/>
      <c r="F289" s="12"/>
      <c r="G289" s="4"/>
      <c r="H289" s="1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12"/>
      <c r="E290" s="4"/>
      <c r="F290" s="12"/>
      <c r="G290" s="4"/>
      <c r="H290" s="1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12"/>
      <c r="E291" s="4"/>
      <c r="F291" s="12"/>
      <c r="G291" s="4"/>
      <c r="H291" s="1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12"/>
      <c r="E292" s="4"/>
      <c r="F292" s="12"/>
      <c r="G292" s="4"/>
      <c r="H292" s="1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12"/>
      <c r="E293" s="4"/>
      <c r="F293" s="12"/>
      <c r="G293" s="4"/>
      <c r="H293" s="1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12"/>
      <c r="E294" s="4"/>
      <c r="F294" s="12"/>
      <c r="G294" s="4"/>
      <c r="H294" s="1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12"/>
      <c r="E295" s="4"/>
      <c r="F295" s="12"/>
      <c r="G295" s="4"/>
      <c r="H295" s="1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12"/>
      <c r="E296" s="4"/>
      <c r="F296" s="12"/>
      <c r="G296" s="4"/>
      <c r="H296" s="1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12"/>
      <c r="E297" s="4"/>
      <c r="F297" s="12"/>
      <c r="G297" s="4"/>
      <c r="H297" s="1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12"/>
      <c r="E298" s="4"/>
      <c r="F298" s="12"/>
      <c r="G298" s="4"/>
      <c r="H298" s="1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12"/>
      <c r="E299" s="4"/>
      <c r="F299" s="12"/>
      <c r="G299" s="4"/>
      <c r="H299" s="1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12"/>
      <c r="E300" s="4"/>
      <c r="F300" s="12"/>
      <c r="G300" s="4"/>
      <c r="H300" s="1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12"/>
      <c r="E301" s="4"/>
      <c r="F301" s="12"/>
      <c r="G301" s="4"/>
      <c r="H301" s="1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12"/>
      <c r="E302" s="4"/>
      <c r="F302" s="12"/>
      <c r="G302" s="4"/>
      <c r="H302" s="1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12"/>
      <c r="E303" s="4"/>
      <c r="F303" s="12"/>
      <c r="G303" s="4"/>
      <c r="H303" s="1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12"/>
      <c r="E304" s="4"/>
      <c r="F304" s="12"/>
      <c r="G304" s="4"/>
      <c r="H304" s="1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12"/>
      <c r="E305" s="4"/>
      <c r="F305" s="12"/>
      <c r="G305" s="4"/>
      <c r="H305" s="1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12"/>
      <c r="E306" s="4"/>
      <c r="F306" s="12"/>
      <c r="G306" s="4"/>
      <c r="H306" s="1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12"/>
      <c r="E307" s="4"/>
      <c r="F307" s="12"/>
      <c r="G307" s="4"/>
      <c r="H307" s="1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12"/>
      <c r="E308" s="4"/>
      <c r="F308" s="12"/>
      <c r="G308" s="4"/>
      <c r="H308" s="1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12"/>
      <c r="E309" s="4"/>
      <c r="F309" s="12"/>
      <c r="G309" s="4"/>
      <c r="H309" s="1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12"/>
      <c r="E310" s="4"/>
      <c r="F310" s="12"/>
      <c r="G310" s="4"/>
      <c r="H310" s="1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12"/>
      <c r="E311" s="4"/>
      <c r="F311" s="12"/>
      <c r="G311" s="4"/>
      <c r="H311" s="1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12"/>
      <c r="E312" s="4"/>
      <c r="F312" s="12"/>
      <c r="G312" s="4"/>
      <c r="H312" s="1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12"/>
      <c r="E313" s="4"/>
      <c r="F313" s="12"/>
      <c r="G313" s="4"/>
      <c r="H313" s="1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12"/>
      <c r="E314" s="4"/>
      <c r="F314" s="12"/>
      <c r="G314" s="4"/>
      <c r="H314" s="1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12"/>
      <c r="E315" s="4"/>
      <c r="F315" s="12"/>
      <c r="G315" s="4"/>
      <c r="H315" s="1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12"/>
      <c r="E316" s="4"/>
      <c r="F316" s="12"/>
      <c r="G316" s="4"/>
      <c r="H316" s="1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12"/>
      <c r="E317" s="4"/>
      <c r="F317" s="12"/>
      <c r="G317" s="4"/>
      <c r="H317" s="1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12"/>
      <c r="E318" s="4"/>
      <c r="F318" s="12"/>
      <c r="G318" s="4"/>
      <c r="H318" s="1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12"/>
      <c r="E319" s="4"/>
      <c r="F319" s="12"/>
      <c r="G319" s="4"/>
      <c r="H319" s="1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12"/>
      <c r="E320" s="4"/>
      <c r="F320" s="12"/>
      <c r="G320" s="4"/>
      <c r="H320" s="1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12"/>
      <c r="E321" s="4"/>
      <c r="F321" s="12"/>
      <c r="G321" s="4"/>
      <c r="H321" s="1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12"/>
      <c r="E322" s="4"/>
      <c r="F322" s="12"/>
      <c r="G322" s="4"/>
      <c r="H322" s="1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12"/>
      <c r="E323" s="4"/>
      <c r="F323" s="12"/>
      <c r="G323" s="4"/>
      <c r="H323" s="1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12"/>
      <c r="E324" s="4"/>
      <c r="F324" s="12"/>
      <c r="G324" s="4"/>
      <c r="H324" s="1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12"/>
      <c r="E325" s="4"/>
      <c r="F325" s="12"/>
      <c r="G325" s="4"/>
      <c r="H325" s="1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12"/>
      <c r="E326" s="4"/>
      <c r="F326" s="12"/>
      <c r="G326" s="4"/>
      <c r="H326" s="1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12"/>
      <c r="E327" s="4"/>
      <c r="F327" s="12"/>
      <c r="G327" s="4"/>
      <c r="H327" s="1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12"/>
      <c r="E328" s="4"/>
      <c r="F328" s="12"/>
      <c r="G328" s="4"/>
      <c r="H328" s="1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12"/>
      <c r="E329" s="4"/>
      <c r="F329" s="12"/>
      <c r="G329" s="4"/>
      <c r="H329" s="1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12"/>
      <c r="E330" s="4"/>
      <c r="F330" s="12"/>
      <c r="G330" s="4"/>
      <c r="H330" s="1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12"/>
      <c r="E331" s="4"/>
      <c r="F331" s="12"/>
      <c r="G331" s="4"/>
      <c r="H331" s="1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12"/>
      <c r="E332" s="4"/>
      <c r="F332" s="12"/>
      <c r="G332" s="4"/>
      <c r="H332" s="1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12"/>
      <c r="E333" s="4"/>
      <c r="F333" s="12"/>
      <c r="G333" s="4"/>
      <c r="H333" s="1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12"/>
      <c r="E334" s="4"/>
      <c r="F334" s="12"/>
      <c r="G334" s="4"/>
      <c r="H334" s="1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12"/>
      <c r="E335" s="4"/>
      <c r="F335" s="12"/>
      <c r="G335" s="4"/>
      <c r="H335" s="1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12"/>
      <c r="E336" s="4"/>
      <c r="F336" s="12"/>
      <c r="G336" s="4"/>
      <c r="H336" s="1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12"/>
      <c r="E337" s="4"/>
      <c r="F337" s="12"/>
      <c r="G337" s="4"/>
      <c r="H337" s="1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12"/>
      <c r="E338" s="4"/>
      <c r="F338" s="12"/>
      <c r="G338" s="4"/>
      <c r="H338" s="1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12"/>
      <c r="E339" s="4"/>
      <c r="F339" s="12"/>
      <c r="G339" s="4"/>
      <c r="H339" s="1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12"/>
      <c r="E340" s="4"/>
      <c r="F340" s="12"/>
      <c r="G340" s="4"/>
      <c r="H340" s="1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12"/>
      <c r="E341" s="4"/>
      <c r="F341" s="12"/>
      <c r="G341" s="4"/>
      <c r="H341" s="1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12"/>
      <c r="E342" s="4"/>
      <c r="F342" s="12"/>
      <c r="G342" s="4"/>
      <c r="H342" s="1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12"/>
      <c r="E343" s="4"/>
      <c r="F343" s="12"/>
      <c r="G343" s="4"/>
      <c r="H343" s="1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12"/>
      <c r="E344" s="4"/>
      <c r="F344" s="12"/>
      <c r="G344" s="4"/>
      <c r="H344" s="1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12"/>
      <c r="E345" s="4"/>
      <c r="F345" s="12"/>
      <c r="G345" s="4"/>
      <c r="H345" s="1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12"/>
      <c r="E346" s="4"/>
      <c r="F346" s="12"/>
      <c r="G346" s="4"/>
      <c r="H346" s="1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12"/>
      <c r="E347" s="4"/>
      <c r="F347" s="12"/>
      <c r="G347" s="4"/>
      <c r="H347" s="1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12"/>
      <c r="E348" s="4"/>
      <c r="F348" s="12"/>
      <c r="G348" s="4"/>
      <c r="H348" s="1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12"/>
      <c r="E349" s="4"/>
      <c r="F349" s="12"/>
      <c r="G349" s="4"/>
      <c r="H349" s="1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12"/>
      <c r="E350" s="4"/>
      <c r="F350" s="12"/>
      <c r="G350" s="4"/>
      <c r="H350" s="1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12"/>
      <c r="E351" s="4"/>
      <c r="F351" s="12"/>
      <c r="G351" s="4"/>
      <c r="H351" s="1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12"/>
      <c r="E352" s="4"/>
      <c r="F352" s="12"/>
      <c r="G352" s="4"/>
      <c r="H352" s="1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12"/>
      <c r="E353" s="4"/>
      <c r="F353" s="12"/>
      <c r="G353" s="4"/>
      <c r="H353" s="1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12"/>
      <c r="E354" s="4"/>
      <c r="F354" s="12"/>
      <c r="G354" s="4"/>
      <c r="H354" s="1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12"/>
      <c r="E355" s="4"/>
      <c r="F355" s="12"/>
      <c r="G355" s="4"/>
      <c r="H355" s="1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12"/>
      <c r="E356" s="4"/>
      <c r="F356" s="12"/>
      <c r="G356" s="4"/>
      <c r="H356" s="1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12"/>
      <c r="E357" s="4"/>
      <c r="F357" s="12"/>
      <c r="G357" s="4"/>
      <c r="H357" s="1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12"/>
      <c r="E358" s="4"/>
      <c r="F358" s="12"/>
      <c r="G358" s="4"/>
      <c r="H358" s="1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12"/>
      <c r="E359" s="4"/>
      <c r="F359" s="12"/>
      <c r="G359" s="4"/>
      <c r="H359" s="1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12"/>
      <c r="E360" s="4"/>
      <c r="F360" s="12"/>
      <c r="G360" s="4"/>
      <c r="H360" s="1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12"/>
      <c r="E361" s="4"/>
      <c r="F361" s="12"/>
      <c r="G361" s="4"/>
      <c r="H361" s="1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12"/>
      <c r="E362" s="4"/>
      <c r="F362" s="12"/>
      <c r="G362" s="4"/>
      <c r="H362" s="1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12"/>
      <c r="E363" s="4"/>
      <c r="F363" s="12"/>
      <c r="G363" s="4"/>
      <c r="H363" s="1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12"/>
      <c r="E364" s="4"/>
      <c r="F364" s="12"/>
      <c r="G364" s="4"/>
      <c r="H364" s="1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12"/>
      <c r="E365" s="4"/>
      <c r="F365" s="12"/>
      <c r="G365" s="4"/>
      <c r="H365" s="1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12"/>
      <c r="E366" s="4"/>
      <c r="F366" s="12"/>
      <c r="G366" s="4"/>
      <c r="H366" s="1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12"/>
      <c r="E367" s="4"/>
      <c r="F367" s="12"/>
      <c r="G367" s="4"/>
      <c r="H367" s="1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12"/>
      <c r="E368" s="4"/>
      <c r="F368" s="12"/>
      <c r="G368" s="4"/>
      <c r="H368" s="1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12"/>
      <c r="E369" s="4"/>
      <c r="F369" s="12"/>
      <c r="G369" s="4"/>
      <c r="H369" s="1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12"/>
      <c r="E370" s="4"/>
      <c r="F370" s="12"/>
      <c r="G370" s="4"/>
      <c r="H370" s="1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12"/>
      <c r="E371" s="4"/>
      <c r="F371" s="12"/>
      <c r="G371" s="4"/>
      <c r="H371" s="1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12"/>
      <c r="E372" s="4"/>
      <c r="F372" s="12"/>
      <c r="G372" s="4"/>
      <c r="H372" s="1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12"/>
      <c r="E373" s="4"/>
      <c r="F373" s="12"/>
      <c r="G373" s="4"/>
      <c r="H373" s="1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12"/>
      <c r="E374" s="4"/>
      <c r="F374" s="12"/>
      <c r="G374" s="4"/>
      <c r="H374" s="1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12"/>
      <c r="E375" s="4"/>
      <c r="F375" s="12"/>
      <c r="G375" s="4"/>
      <c r="H375" s="1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12"/>
      <c r="E376" s="4"/>
      <c r="F376" s="12"/>
      <c r="G376" s="4"/>
      <c r="H376" s="1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12"/>
      <c r="E377" s="4"/>
      <c r="F377" s="12"/>
      <c r="G377" s="4"/>
      <c r="H377" s="1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12"/>
      <c r="E378" s="4"/>
      <c r="F378" s="12"/>
      <c r="G378" s="4"/>
      <c r="H378" s="1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12"/>
      <c r="E379" s="4"/>
      <c r="F379" s="12"/>
      <c r="G379" s="4"/>
      <c r="H379" s="1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12"/>
      <c r="E380" s="4"/>
      <c r="F380" s="12"/>
      <c r="G380" s="4"/>
      <c r="H380" s="1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12"/>
      <c r="E381" s="4"/>
      <c r="F381" s="12"/>
      <c r="G381" s="4"/>
      <c r="H381" s="1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12"/>
      <c r="E382" s="4"/>
      <c r="F382" s="12"/>
      <c r="G382" s="4"/>
      <c r="H382" s="1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12"/>
      <c r="E383" s="4"/>
      <c r="F383" s="12"/>
      <c r="G383" s="4"/>
      <c r="H383" s="1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12"/>
      <c r="E384" s="4"/>
      <c r="F384" s="12"/>
      <c r="G384" s="4"/>
      <c r="H384" s="1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12"/>
      <c r="E385" s="4"/>
      <c r="F385" s="12"/>
      <c r="G385" s="4"/>
      <c r="H385" s="1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12"/>
      <c r="E386" s="4"/>
      <c r="F386" s="12"/>
      <c r="G386" s="4"/>
      <c r="H386" s="1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12"/>
      <c r="E387" s="4"/>
      <c r="F387" s="12"/>
      <c r="G387" s="4"/>
      <c r="H387" s="1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12"/>
      <c r="E388" s="4"/>
      <c r="F388" s="12"/>
      <c r="G388" s="4"/>
      <c r="H388" s="1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12"/>
      <c r="E389" s="4"/>
      <c r="F389" s="12"/>
      <c r="G389" s="4"/>
      <c r="H389" s="1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12"/>
      <c r="E390" s="4"/>
      <c r="F390" s="12"/>
      <c r="G390" s="4"/>
      <c r="H390" s="1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12"/>
      <c r="E391" s="4"/>
      <c r="F391" s="12"/>
      <c r="G391" s="4"/>
      <c r="H391" s="1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12"/>
      <c r="E392" s="4"/>
      <c r="F392" s="12"/>
      <c r="G392" s="4"/>
      <c r="H392" s="1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12"/>
      <c r="E393" s="4"/>
      <c r="F393" s="12"/>
      <c r="G393" s="4"/>
      <c r="H393" s="1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12"/>
      <c r="E394" s="4"/>
      <c r="F394" s="12"/>
      <c r="G394" s="4"/>
      <c r="H394" s="1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12"/>
      <c r="E395" s="4"/>
      <c r="F395" s="12"/>
      <c r="G395" s="4"/>
      <c r="H395" s="1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12"/>
      <c r="E396" s="4"/>
      <c r="F396" s="12"/>
      <c r="G396" s="4"/>
      <c r="H396" s="1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12"/>
      <c r="E397" s="4"/>
      <c r="F397" s="12"/>
      <c r="G397" s="4"/>
      <c r="H397" s="1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12"/>
      <c r="E398" s="4"/>
      <c r="F398" s="12"/>
      <c r="G398" s="4"/>
      <c r="H398" s="1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12"/>
      <c r="E399" s="4"/>
      <c r="F399" s="12"/>
      <c r="G399" s="4"/>
      <c r="H399" s="1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12"/>
      <c r="E400" s="4"/>
      <c r="F400" s="12"/>
      <c r="G400" s="4"/>
      <c r="H400" s="1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12"/>
      <c r="E401" s="4"/>
      <c r="F401" s="12"/>
      <c r="G401" s="4"/>
      <c r="H401" s="1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12"/>
      <c r="E402" s="4"/>
      <c r="F402" s="12"/>
      <c r="G402" s="4"/>
      <c r="H402" s="1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12"/>
      <c r="E403" s="4"/>
      <c r="F403" s="12"/>
      <c r="G403" s="4"/>
      <c r="H403" s="1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12"/>
      <c r="E404" s="4"/>
      <c r="F404" s="12"/>
      <c r="G404" s="4"/>
      <c r="H404" s="1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12"/>
      <c r="E405" s="4"/>
      <c r="F405" s="12"/>
      <c r="G405" s="4"/>
      <c r="H405" s="1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12"/>
      <c r="E406" s="4"/>
      <c r="F406" s="12"/>
      <c r="G406" s="4"/>
      <c r="H406" s="1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12"/>
      <c r="E407" s="4"/>
      <c r="F407" s="12"/>
      <c r="G407" s="4"/>
      <c r="H407" s="1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12"/>
      <c r="E408" s="4"/>
      <c r="F408" s="12"/>
      <c r="G408" s="4"/>
      <c r="H408" s="1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12"/>
      <c r="E409" s="4"/>
      <c r="F409" s="12"/>
      <c r="G409" s="4"/>
      <c r="H409" s="1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12"/>
      <c r="E410" s="4"/>
      <c r="F410" s="12"/>
      <c r="G410" s="4"/>
      <c r="H410" s="1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12"/>
      <c r="E411" s="4"/>
      <c r="F411" s="12"/>
      <c r="G411" s="4"/>
      <c r="H411" s="1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12"/>
      <c r="E412" s="4"/>
      <c r="F412" s="12"/>
      <c r="G412" s="4"/>
      <c r="H412" s="1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12"/>
      <c r="E413" s="4"/>
      <c r="F413" s="12"/>
      <c r="G413" s="4"/>
      <c r="H413" s="1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12"/>
      <c r="E414" s="4"/>
      <c r="F414" s="12"/>
      <c r="G414" s="4"/>
      <c r="H414" s="1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12"/>
      <c r="E415" s="4"/>
      <c r="F415" s="12"/>
      <c r="G415" s="4"/>
      <c r="H415" s="1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12"/>
      <c r="E416" s="4"/>
      <c r="F416" s="12"/>
      <c r="G416" s="4"/>
      <c r="H416" s="1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12"/>
      <c r="E417" s="4"/>
      <c r="F417" s="12"/>
      <c r="G417" s="4"/>
      <c r="H417" s="1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12"/>
      <c r="E418" s="4"/>
      <c r="F418" s="12"/>
      <c r="G418" s="4"/>
      <c r="H418" s="1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12"/>
      <c r="E419" s="4"/>
      <c r="F419" s="12"/>
      <c r="G419" s="4"/>
      <c r="H419" s="1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12"/>
      <c r="E420" s="4"/>
      <c r="F420" s="12"/>
      <c r="G420" s="4"/>
      <c r="H420" s="1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12"/>
      <c r="E421" s="4"/>
      <c r="F421" s="12"/>
      <c r="G421" s="4"/>
      <c r="H421" s="1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12"/>
      <c r="E422" s="4"/>
      <c r="F422" s="12"/>
      <c r="G422" s="4"/>
      <c r="H422" s="1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12"/>
      <c r="E423" s="4"/>
      <c r="F423" s="12"/>
      <c r="G423" s="4"/>
      <c r="H423" s="1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12"/>
      <c r="E424" s="4"/>
      <c r="F424" s="12"/>
      <c r="G424" s="4"/>
      <c r="H424" s="1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12"/>
      <c r="E425" s="4"/>
      <c r="F425" s="12"/>
      <c r="G425" s="4"/>
      <c r="H425" s="1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12"/>
      <c r="E426" s="4"/>
      <c r="F426" s="12"/>
      <c r="G426" s="4"/>
      <c r="H426" s="1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12"/>
      <c r="E427" s="4"/>
      <c r="F427" s="12"/>
      <c r="G427" s="4"/>
      <c r="H427" s="1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12"/>
      <c r="E428" s="4"/>
      <c r="F428" s="12"/>
      <c r="G428" s="4"/>
      <c r="H428" s="1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12"/>
      <c r="E429" s="4"/>
      <c r="F429" s="12"/>
      <c r="G429" s="4"/>
      <c r="H429" s="1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12"/>
      <c r="E430" s="4"/>
      <c r="F430" s="12"/>
      <c r="G430" s="4"/>
      <c r="H430" s="1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12"/>
      <c r="E431" s="4"/>
      <c r="F431" s="12"/>
      <c r="G431" s="4"/>
      <c r="H431" s="1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12"/>
      <c r="E432" s="4"/>
      <c r="F432" s="12"/>
      <c r="G432" s="4"/>
      <c r="H432" s="1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12"/>
      <c r="E433" s="4"/>
      <c r="F433" s="12"/>
      <c r="G433" s="4"/>
      <c r="H433" s="1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12"/>
      <c r="E434" s="4"/>
      <c r="F434" s="12"/>
      <c r="G434" s="4"/>
      <c r="H434" s="1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12"/>
      <c r="E435" s="4"/>
      <c r="F435" s="12"/>
      <c r="G435" s="4"/>
      <c r="H435" s="1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12"/>
      <c r="E436" s="4"/>
      <c r="F436" s="12"/>
      <c r="G436" s="4"/>
      <c r="H436" s="1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12"/>
      <c r="E437" s="4"/>
      <c r="F437" s="12"/>
      <c r="G437" s="4"/>
      <c r="H437" s="1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12"/>
      <c r="E438" s="4"/>
      <c r="F438" s="12"/>
      <c r="G438" s="4"/>
      <c r="H438" s="1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12"/>
      <c r="E439" s="4"/>
      <c r="F439" s="12"/>
      <c r="G439" s="4"/>
      <c r="H439" s="1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12"/>
      <c r="E440" s="4"/>
      <c r="F440" s="12"/>
      <c r="G440" s="4"/>
      <c r="H440" s="1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12"/>
      <c r="E441" s="4"/>
      <c r="F441" s="12"/>
      <c r="G441" s="4"/>
      <c r="H441" s="1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12"/>
      <c r="E442" s="4"/>
      <c r="F442" s="12"/>
      <c r="G442" s="4"/>
      <c r="H442" s="1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12"/>
      <c r="E443" s="4"/>
      <c r="F443" s="12"/>
      <c r="G443" s="4"/>
      <c r="H443" s="1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12"/>
      <c r="E444" s="4"/>
      <c r="F444" s="12"/>
      <c r="G444" s="4"/>
      <c r="H444" s="1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12"/>
      <c r="E445" s="4"/>
      <c r="F445" s="12"/>
      <c r="G445" s="4"/>
      <c r="H445" s="1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12"/>
      <c r="E446" s="4"/>
      <c r="F446" s="12"/>
      <c r="G446" s="4"/>
      <c r="H446" s="1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12"/>
      <c r="E447" s="4"/>
      <c r="F447" s="12"/>
      <c r="G447" s="4"/>
      <c r="H447" s="1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12"/>
      <c r="E448" s="4"/>
      <c r="F448" s="12"/>
      <c r="G448" s="4"/>
      <c r="H448" s="1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12"/>
      <c r="E449" s="4"/>
      <c r="F449" s="12"/>
      <c r="G449" s="4"/>
      <c r="H449" s="1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12"/>
      <c r="E450" s="4"/>
      <c r="F450" s="12"/>
      <c r="G450" s="4"/>
      <c r="H450" s="1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12"/>
      <c r="E451" s="4"/>
      <c r="F451" s="12"/>
      <c r="G451" s="4"/>
      <c r="H451" s="1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12"/>
      <c r="E452" s="4"/>
      <c r="F452" s="12"/>
      <c r="G452" s="4"/>
      <c r="H452" s="1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12"/>
      <c r="E453" s="4"/>
      <c r="F453" s="12"/>
      <c r="G453" s="4"/>
      <c r="H453" s="1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12"/>
      <c r="E454" s="4"/>
      <c r="F454" s="12"/>
      <c r="G454" s="4"/>
      <c r="H454" s="1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12"/>
      <c r="E455" s="4"/>
      <c r="F455" s="12"/>
      <c r="G455" s="4"/>
      <c r="H455" s="1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12"/>
      <c r="E456" s="4"/>
      <c r="F456" s="12"/>
      <c r="G456" s="4"/>
      <c r="H456" s="1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12"/>
      <c r="E457" s="4"/>
      <c r="F457" s="12"/>
      <c r="G457" s="4"/>
      <c r="H457" s="1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12"/>
      <c r="E458" s="4"/>
      <c r="F458" s="12"/>
      <c r="G458" s="4"/>
      <c r="H458" s="1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12"/>
      <c r="E459" s="4"/>
      <c r="F459" s="12"/>
      <c r="G459" s="4"/>
      <c r="H459" s="1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12"/>
      <c r="E460" s="4"/>
      <c r="F460" s="12"/>
      <c r="G460" s="4"/>
      <c r="H460" s="1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12"/>
      <c r="E461" s="4"/>
      <c r="F461" s="12"/>
      <c r="G461" s="4"/>
      <c r="H461" s="1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12"/>
      <c r="E462" s="4"/>
      <c r="F462" s="12"/>
      <c r="G462" s="4"/>
      <c r="H462" s="1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12"/>
      <c r="E463" s="4"/>
      <c r="F463" s="12"/>
      <c r="G463" s="4"/>
      <c r="H463" s="1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12"/>
      <c r="E464" s="4"/>
      <c r="F464" s="12"/>
      <c r="G464" s="4"/>
      <c r="H464" s="1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12"/>
      <c r="E465" s="4"/>
      <c r="F465" s="12"/>
      <c r="G465" s="4"/>
      <c r="H465" s="1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12"/>
      <c r="E466" s="4"/>
      <c r="F466" s="12"/>
      <c r="G466" s="4"/>
      <c r="H466" s="1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12"/>
      <c r="E467" s="4"/>
      <c r="F467" s="12"/>
      <c r="G467" s="4"/>
      <c r="H467" s="1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12"/>
      <c r="E468" s="4"/>
      <c r="F468" s="12"/>
      <c r="G468" s="4"/>
      <c r="H468" s="1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12"/>
      <c r="E469" s="4"/>
      <c r="F469" s="12"/>
      <c r="G469" s="4"/>
      <c r="H469" s="1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12"/>
      <c r="E470" s="4"/>
      <c r="F470" s="12"/>
      <c r="G470" s="4"/>
      <c r="H470" s="1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12"/>
      <c r="E471" s="4"/>
      <c r="F471" s="12"/>
      <c r="G471" s="4"/>
      <c r="H471" s="1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12"/>
      <c r="E472" s="4"/>
      <c r="F472" s="12"/>
      <c r="G472" s="4"/>
      <c r="H472" s="1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12"/>
      <c r="E473" s="4"/>
      <c r="F473" s="12"/>
      <c r="G473" s="4"/>
      <c r="H473" s="1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12"/>
      <c r="E474" s="4"/>
      <c r="F474" s="12"/>
      <c r="G474" s="4"/>
      <c r="H474" s="1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12"/>
      <c r="E475" s="4"/>
      <c r="F475" s="12"/>
      <c r="G475" s="4"/>
      <c r="H475" s="1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12"/>
      <c r="E476" s="4"/>
      <c r="F476" s="12"/>
      <c r="G476" s="4"/>
      <c r="H476" s="1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12"/>
      <c r="E477" s="4"/>
      <c r="F477" s="12"/>
      <c r="G477" s="4"/>
      <c r="H477" s="1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12"/>
      <c r="E478" s="4"/>
      <c r="F478" s="12"/>
      <c r="G478" s="4"/>
      <c r="H478" s="1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12"/>
      <c r="E479" s="4"/>
      <c r="F479" s="12"/>
      <c r="G479" s="4"/>
      <c r="H479" s="1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12"/>
      <c r="E480" s="4"/>
      <c r="F480" s="12"/>
      <c r="G480" s="4"/>
      <c r="H480" s="1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12"/>
      <c r="E481" s="4"/>
      <c r="F481" s="12"/>
      <c r="G481" s="4"/>
      <c r="H481" s="1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12"/>
      <c r="E482" s="4"/>
      <c r="F482" s="12"/>
      <c r="G482" s="4"/>
      <c r="H482" s="1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12"/>
      <c r="E483" s="4"/>
      <c r="F483" s="12"/>
      <c r="G483" s="4"/>
      <c r="H483" s="1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12"/>
      <c r="E484" s="4"/>
      <c r="F484" s="12"/>
      <c r="G484" s="4"/>
      <c r="H484" s="1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12"/>
      <c r="E485" s="4"/>
      <c r="F485" s="12"/>
      <c r="G485" s="4"/>
      <c r="H485" s="1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12"/>
      <c r="E486" s="4"/>
      <c r="F486" s="12"/>
      <c r="G486" s="4"/>
      <c r="H486" s="1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12"/>
      <c r="E487" s="4"/>
      <c r="F487" s="12"/>
      <c r="G487" s="4"/>
      <c r="H487" s="1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12"/>
      <c r="E488" s="4"/>
      <c r="F488" s="12"/>
      <c r="G488" s="4"/>
      <c r="H488" s="1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12"/>
      <c r="E489" s="4"/>
      <c r="F489" s="12"/>
      <c r="G489" s="4"/>
      <c r="H489" s="1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12"/>
      <c r="E490" s="4"/>
      <c r="F490" s="12"/>
      <c r="G490" s="4"/>
      <c r="H490" s="1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12"/>
      <c r="E491" s="4"/>
      <c r="F491" s="12"/>
      <c r="G491" s="4"/>
      <c r="H491" s="1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12"/>
      <c r="E492" s="4"/>
      <c r="F492" s="12"/>
      <c r="G492" s="4"/>
      <c r="H492" s="1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12"/>
      <c r="E493" s="4"/>
      <c r="F493" s="12"/>
      <c r="G493" s="4"/>
      <c r="H493" s="1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12"/>
      <c r="E494" s="4"/>
      <c r="F494" s="12"/>
      <c r="G494" s="4"/>
      <c r="H494" s="1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12"/>
      <c r="E495" s="4"/>
      <c r="F495" s="12"/>
      <c r="G495" s="4"/>
      <c r="H495" s="1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12"/>
      <c r="E496" s="4"/>
      <c r="F496" s="12"/>
      <c r="G496" s="4"/>
      <c r="H496" s="1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12"/>
      <c r="E497" s="4"/>
      <c r="F497" s="12"/>
      <c r="G497" s="4"/>
      <c r="H497" s="1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12"/>
      <c r="E498" s="4"/>
      <c r="F498" s="12"/>
      <c r="G498" s="4"/>
      <c r="H498" s="1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12"/>
      <c r="E499" s="4"/>
      <c r="F499" s="12"/>
      <c r="G499" s="4"/>
      <c r="H499" s="1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12"/>
      <c r="E500" s="4"/>
      <c r="F500" s="12"/>
      <c r="G500" s="4"/>
      <c r="H500" s="1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12"/>
      <c r="E501" s="4"/>
      <c r="F501" s="12"/>
      <c r="G501" s="4"/>
      <c r="H501" s="1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12"/>
      <c r="E502" s="4"/>
      <c r="F502" s="12"/>
      <c r="G502" s="4"/>
      <c r="H502" s="1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12"/>
      <c r="E503" s="4"/>
      <c r="F503" s="12"/>
      <c r="G503" s="4"/>
      <c r="H503" s="1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12"/>
      <c r="E504" s="4"/>
      <c r="F504" s="12"/>
      <c r="G504" s="4"/>
      <c r="H504" s="1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12"/>
      <c r="E505" s="4"/>
      <c r="F505" s="12"/>
      <c r="G505" s="4"/>
      <c r="H505" s="1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12"/>
      <c r="E506" s="4"/>
      <c r="F506" s="12"/>
      <c r="G506" s="4"/>
      <c r="H506" s="1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12"/>
      <c r="E507" s="4"/>
      <c r="F507" s="12"/>
      <c r="G507" s="4"/>
      <c r="H507" s="1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12"/>
      <c r="E508" s="4"/>
      <c r="F508" s="12"/>
      <c r="G508" s="4"/>
      <c r="H508" s="1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12"/>
      <c r="E509" s="4"/>
      <c r="F509" s="12"/>
      <c r="G509" s="4"/>
      <c r="H509" s="1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12"/>
      <c r="E510" s="4"/>
      <c r="F510" s="12"/>
      <c r="G510" s="4"/>
      <c r="H510" s="1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12"/>
      <c r="E511" s="4"/>
      <c r="F511" s="12"/>
      <c r="G511" s="4"/>
      <c r="H511" s="1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12"/>
      <c r="E512" s="4"/>
      <c r="F512" s="12"/>
      <c r="G512" s="4"/>
      <c r="H512" s="1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12"/>
      <c r="E513" s="4"/>
      <c r="F513" s="12"/>
      <c r="G513" s="4"/>
      <c r="H513" s="1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12"/>
      <c r="E514" s="4"/>
      <c r="F514" s="12"/>
      <c r="G514" s="4"/>
      <c r="H514" s="1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12"/>
      <c r="E515" s="4"/>
      <c r="F515" s="12"/>
      <c r="G515" s="4"/>
      <c r="H515" s="1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12"/>
      <c r="E516" s="4"/>
      <c r="F516" s="12"/>
      <c r="G516" s="4"/>
      <c r="H516" s="1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12"/>
      <c r="E517" s="4"/>
      <c r="F517" s="12"/>
      <c r="G517" s="4"/>
      <c r="H517" s="1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12"/>
      <c r="E518" s="4"/>
      <c r="F518" s="12"/>
      <c r="G518" s="4"/>
      <c r="H518" s="1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12"/>
      <c r="E519" s="4"/>
      <c r="F519" s="12"/>
      <c r="G519" s="4"/>
      <c r="H519" s="1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12"/>
      <c r="E520" s="4"/>
      <c r="F520" s="12"/>
      <c r="G520" s="4"/>
      <c r="H520" s="1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12"/>
      <c r="E521" s="4"/>
      <c r="F521" s="12"/>
      <c r="G521" s="4"/>
      <c r="H521" s="1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12"/>
      <c r="E522" s="4"/>
      <c r="F522" s="12"/>
      <c r="G522" s="4"/>
      <c r="H522" s="1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12"/>
      <c r="E523" s="4"/>
      <c r="F523" s="12"/>
      <c r="G523" s="4"/>
      <c r="H523" s="1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12"/>
      <c r="E524" s="4"/>
      <c r="F524" s="12"/>
      <c r="G524" s="4"/>
      <c r="H524" s="1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12"/>
      <c r="E525" s="4"/>
      <c r="F525" s="12"/>
      <c r="G525" s="4"/>
      <c r="H525" s="1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12"/>
      <c r="E526" s="4"/>
      <c r="F526" s="12"/>
      <c r="G526" s="4"/>
      <c r="H526" s="1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12"/>
      <c r="E527" s="4"/>
      <c r="F527" s="12"/>
      <c r="G527" s="4"/>
      <c r="H527" s="1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12"/>
      <c r="E528" s="4"/>
      <c r="F528" s="12"/>
      <c r="G528" s="4"/>
      <c r="H528" s="1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12"/>
      <c r="E529" s="4"/>
      <c r="F529" s="12"/>
      <c r="G529" s="4"/>
      <c r="H529" s="1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12"/>
      <c r="E530" s="4"/>
      <c r="F530" s="12"/>
      <c r="G530" s="4"/>
      <c r="H530" s="1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12"/>
      <c r="E531" s="4"/>
      <c r="F531" s="12"/>
      <c r="G531" s="4"/>
      <c r="H531" s="1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12"/>
      <c r="E532" s="4"/>
      <c r="F532" s="12"/>
      <c r="G532" s="4"/>
      <c r="H532" s="1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12"/>
      <c r="E533" s="4"/>
      <c r="F533" s="12"/>
      <c r="G533" s="4"/>
      <c r="H533" s="1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12"/>
      <c r="E534" s="4"/>
      <c r="F534" s="12"/>
      <c r="G534" s="4"/>
      <c r="H534" s="1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12"/>
      <c r="E535" s="4"/>
      <c r="F535" s="12"/>
      <c r="G535" s="4"/>
      <c r="H535" s="1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12"/>
      <c r="E536" s="4"/>
      <c r="F536" s="12"/>
      <c r="G536" s="4"/>
      <c r="H536" s="1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12"/>
      <c r="E537" s="4"/>
      <c r="F537" s="12"/>
      <c r="G537" s="4"/>
      <c r="H537" s="1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12"/>
      <c r="E538" s="4"/>
      <c r="F538" s="12"/>
      <c r="G538" s="4"/>
      <c r="H538" s="1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12"/>
      <c r="E539" s="4"/>
      <c r="F539" s="12"/>
      <c r="G539" s="4"/>
      <c r="H539" s="1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12"/>
      <c r="E540" s="4"/>
      <c r="F540" s="12"/>
      <c r="G540" s="4"/>
      <c r="H540" s="1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12"/>
      <c r="E541" s="4"/>
      <c r="F541" s="12"/>
      <c r="G541" s="4"/>
      <c r="H541" s="1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12"/>
      <c r="E542" s="4"/>
      <c r="F542" s="12"/>
      <c r="G542" s="4"/>
      <c r="H542" s="1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12"/>
      <c r="E543" s="4"/>
      <c r="F543" s="12"/>
      <c r="G543" s="4"/>
      <c r="H543" s="1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12"/>
      <c r="E544" s="4"/>
      <c r="F544" s="12"/>
      <c r="G544" s="4"/>
      <c r="H544" s="1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12"/>
      <c r="E545" s="4"/>
      <c r="F545" s="12"/>
      <c r="G545" s="4"/>
      <c r="H545" s="1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12"/>
      <c r="E546" s="4"/>
      <c r="F546" s="12"/>
      <c r="G546" s="4"/>
      <c r="H546" s="1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12"/>
      <c r="E547" s="4"/>
      <c r="F547" s="12"/>
      <c r="G547" s="4"/>
      <c r="H547" s="1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12"/>
      <c r="E548" s="4"/>
      <c r="F548" s="12"/>
      <c r="G548" s="4"/>
      <c r="H548" s="1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12"/>
      <c r="E549" s="4"/>
      <c r="F549" s="12"/>
      <c r="G549" s="4"/>
      <c r="H549" s="1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12"/>
      <c r="E550" s="4"/>
      <c r="F550" s="12"/>
      <c r="G550" s="4"/>
      <c r="H550" s="1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12"/>
      <c r="E551" s="4"/>
      <c r="F551" s="12"/>
      <c r="G551" s="4"/>
      <c r="H551" s="1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12"/>
      <c r="E552" s="4"/>
      <c r="F552" s="12"/>
      <c r="G552" s="4"/>
      <c r="H552" s="1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12"/>
      <c r="E553" s="4"/>
      <c r="F553" s="12"/>
      <c r="G553" s="4"/>
      <c r="H553" s="1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12"/>
      <c r="E554" s="4"/>
      <c r="F554" s="12"/>
      <c r="G554" s="4"/>
      <c r="H554" s="1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12"/>
      <c r="E555" s="4"/>
      <c r="F555" s="12"/>
      <c r="G555" s="4"/>
      <c r="H555" s="1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12"/>
      <c r="E556" s="4"/>
      <c r="F556" s="12"/>
      <c r="G556" s="4"/>
      <c r="H556" s="1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12"/>
      <c r="E557" s="4"/>
      <c r="F557" s="12"/>
      <c r="G557" s="4"/>
      <c r="H557" s="1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12"/>
      <c r="E558" s="4"/>
      <c r="F558" s="12"/>
      <c r="G558" s="4"/>
      <c r="H558" s="1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12"/>
      <c r="E559" s="4"/>
      <c r="F559" s="12"/>
      <c r="G559" s="4"/>
      <c r="H559" s="1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12"/>
      <c r="E560" s="4"/>
      <c r="F560" s="12"/>
      <c r="G560" s="4"/>
      <c r="H560" s="1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12"/>
      <c r="E561" s="4"/>
      <c r="F561" s="12"/>
      <c r="G561" s="4"/>
      <c r="H561" s="1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12"/>
      <c r="E562" s="4"/>
      <c r="F562" s="12"/>
      <c r="G562" s="4"/>
      <c r="H562" s="1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12"/>
      <c r="E563" s="4"/>
      <c r="F563" s="12"/>
      <c r="G563" s="4"/>
      <c r="H563" s="1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12"/>
      <c r="E564" s="4"/>
      <c r="F564" s="12"/>
      <c r="G564" s="4"/>
      <c r="H564" s="1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12"/>
      <c r="E565" s="4"/>
      <c r="F565" s="12"/>
      <c r="G565" s="4"/>
      <c r="H565" s="1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12"/>
      <c r="E566" s="4"/>
      <c r="F566" s="12"/>
      <c r="G566" s="4"/>
      <c r="H566" s="1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12"/>
      <c r="E567" s="4"/>
      <c r="F567" s="12"/>
      <c r="G567" s="4"/>
      <c r="H567" s="1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12"/>
      <c r="E568" s="4"/>
      <c r="F568" s="12"/>
      <c r="G568" s="4"/>
      <c r="H568" s="1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12"/>
      <c r="E569" s="4"/>
      <c r="F569" s="12"/>
      <c r="G569" s="4"/>
      <c r="H569" s="1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12"/>
      <c r="E570" s="4"/>
      <c r="F570" s="12"/>
      <c r="G570" s="4"/>
      <c r="H570" s="1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12"/>
      <c r="E571" s="4"/>
      <c r="F571" s="12"/>
      <c r="G571" s="4"/>
      <c r="H571" s="1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12"/>
      <c r="E572" s="4"/>
      <c r="F572" s="12"/>
      <c r="G572" s="4"/>
      <c r="H572" s="1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12"/>
      <c r="E573" s="4"/>
      <c r="F573" s="12"/>
      <c r="G573" s="4"/>
      <c r="H573" s="1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12"/>
      <c r="E574" s="4"/>
      <c r="F574" s="12"/>
      <c r="G574" s="4"/>
      <c r="H574" s="1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12"/>
      <c r="E575" s="4"/>
      <c r="F575" s="12"/>
      <c r="G575" s="4"/>
      <c r="H575" s="1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12"/>
      <c r="E576" s="4"/>
      <c r="F576" s="12"/>
      <c r="G576" s="4"/>
      <c r="H576" s="1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12"/>
      <c r="E577" s="4"/>
      <c r="F577" s="12"/>
      <c r="G577" s="4"/>
      <c r="H577" s="1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12"/>
      <c r="E578" s="4"/>
      <c r="F578" s="12"/>
      <c r="G578" s="4"/>
      <c r="H578" s="1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12"/>
      <c r="E579" s="4"/>
      <c r="F579" s="12"/>
      <c r="G579" s="4"/>
      <c r="H579" s="1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12"/>
      <c r="E580" s="4"/>
      <c r="F580" s="12"/>
      <c r="G580" s="4"/>
      <c r="H580" s="1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12"/>
      <c r="E581" s="4"/>
      <c r="F581" s="12"/>
      <c r="G581" s="4"/>
      <c r="H581" s="1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12"/>
      <c r="E582" s="4"/>
      <c r="F582" s="12"/>
      <c r="G582" s="4"/>
      <c r="H582" s="1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12"/>
      <c r="E583" s="4"/>
      <c r="F583" s="12"/>
      <c r="G583" s="4"/>
      <c r="H583" s="1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12"/>
      <c r="E584" s="4"/>
      <c r="F584" s="12"/>
      <c r="G584" s="4"/>
      <c r="H584" s="1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12"/>
      <c r="E585" s="4"/>
      <c r="F585" s="12"/>
      <c r="G585" s="4"/>
      <c r="H585" s="1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12"/>
      <c r="E586" s="4"/>
      <c r="F586" s="12"/>
      <c r="G586" s="4"/>
      <c r="H586" s="1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12"/>
      <c r="E587" s="4"/>
      <c r="F587" s="12"/>
      <c r="G587" s="4"/>
      <c r="H587" s="1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12"/>
      <c r="E588" s="4"/>
      <c r="F588" s="12"/>
      <c r="G588" s="4"/>
      <c r="H588" s="1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12"/>
      <c r="E589" s="4"/>
      <c r="F589" s="12"/>
      <c r="G589" s="4"/>
      <c r="H589" s="1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12"/>
      <c r="E590" s="4"/>
      <c r="F590" s="12"/>
      <c r="G590" s="4"/>
      <c r="H590" s="1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12"/>
      <c r="E591" s="4"/>
      <c r="F591" s="12"/>
      <c r="G591" s="4"/>
      <c r="H591" s="1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12"/>
      <c r="E592" s="4"/>
      <c r="F592" s="12"/>
      <c r="G592" s="4"/>
      <c r="H592" s="1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12"/>
      <c r="E593" s="4"/>
      <c r="F593" s="12"/>
      <c r="G593" s="4"/>
      <c r="H593" s="1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12"/>
      <c r="E594" s="4"/>
      <c r="F594" s="12"/>
      <c r="G594" s="4"/>
      <c r="H594" s="1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12"/>
      <c r="E595" s="4"/>
      <c r="F595" s="12"/>
      <c r="G595" s="4"/>
      <c r="H595" s="1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12"/>
      <c r="E596" s="4"/>
      <c r="F596" s="12"/>
      <c r="G596" s="4"/>
      <c r="H596" s="1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12"/>
      <c r="E597" s="4"/>
      <c r="F597" s="12"/>
      <c r="G597" s="4"/>
      <c r="H597" s="1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12"/>
      <c r="E598" s="4"/>
      <c r="F598" s="12"/>
      <c r="G598" s="4"/>
      <c r="H598" s="1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12"/>
      <c r="E599" s="4"/>
      <c r="F599" s="12"/>
      <c r="G599" s="4"/>
      <c r="H599" s="1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12"/>
      <c r="E600" s="4"/>
      <c r="F600" s="12"/>
      <c r="G600" s="4"/>
      <c r="H600" s="1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12"/>
      <c r="E601" s="4"/>
      <c r="F601" s="12"/>
      <c r="G601" s="4"/>
      <c r="H601" s="1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12"/>
      <c r="E602" s="4"/>
      <c r="F602" s="12"/>
      <c r="G602" s="4"/>
      <c r="H602" s="1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12"/>
      <c r="E603" s="4"/>
      <c r="F603" s="12"/>
      <c r="G603" s="4"/>
      <c r="H603" s="1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12"/>
      <c r="E604" s="4"/>
      <c r="F604" s="12"/>
      <c r="G604" s="4"/>
      <c r="H604" s="1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12"/>
      <c r="E605" s="4"/>
      <c r="F605" s="12"/>
      <c r="G605" s="4"/>
      <c r="H605" s="1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12"/>
      <c r="E606" s="4"/>
      <c r="F606" s="12"/>
      <c r="G606" s="4"/>
      <c r="H606" s="1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12"/>
      <c r="E607" s="4"/>
      <c r="F607" s="12"/>
      <c r="G607" s="4"/>
      <c r="H607" s="1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12"/>
      <c r="E608" s="4"/>
      <c r="F608" s="12"/>
      <c r="G608" s="4"/>
      <c r="H608" s="1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12"/>
      <c r="E609" s="4"/>
      <c r="F609" s="12"/>
      <c r="G609" s="4"/>
      <c r="H609" s="1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12"/>
      <c r="E610" s="4"/>
      <c r="F610" s="12"/>
      <c r="G610" s="4"/>
      <c r="H610" s="1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12"/>
      <c r="E611" s="4"/>
      <c r="F611" s="12"/>
      <c r="G611" s="4"/>
      <c r="H611" s="1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12"/>
      <c r="E612" s="4"/>
      <c r="F612" s="12"/>
      <c r="G612" s="4"/>
      <c r="H612" s="1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12"/>
      <c r="E613" s="4"/>
      <c r="F613" s="12"/>
      <c r="G613" s="4"/>
      <c r="H613" s="1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12"/>
      <c r="E614" s="4"/>
      <c r="F614" s="12"/>
      <c r="G614" s="4"/>
      <c r="H614" s="1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12"/>
      <c r="E615" s="4"/>
      <c r="F615" s="12"/>
      <c r="G615" s="4"/>
      <c r="H615" s="1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12"/>
      <c r="E616" s="4"/>
      <c r="F616" s="12"/>
      <c r="G616" s="4"/>
      <c r="H616" s="1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12"/>
      <c r="E617" s="4"/>
      <c r="F617" s="12"/>
      <c r="G617" s="4"/>
      <c r="H617" s="1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12"/>
      <c r="E618" s="4"/>
      <c r="F618" s="12"/>
      <c r="G618" s="4"/>
      <c r="H618" s="1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12"/>
      <c r="E619" s="4"/>
      <c r="F619" s="12"/>
      <c r="G619" s="4"/>
      <c r="H619" s="1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12"/>
      <c r="E620" s="4"/>
      <c r="F620" s="12"/>
      <c r="G620" s="4"/>
      <c r="H620" s="1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12"/>
      <c r="E621" s="4"/>
      <c r="F621" s="12"/>
      <c r="G621" s="4"/>
      <c r="H621" s="1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12"/>
      <c r="E622" s="4"/>
      <c r="F622" s="12"/>
      <c r="G622" s="4"/>
      <c r="H622" s="1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12"/>
      <c r="E623" s="4"/>
      <c r="F623" s="12"/>
      <c r="G623" s="4"/>
      <c r="H623" s="1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12"/>
      <c r="E624" s="4"/>
      <c r="F624" s="12"/>
      <c r="G624" s="4"/>
      <c r="H624" s="1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12"/>
      <c r="E625" s="4"/>
      <c r="F625" s="12"/>
      <c r="G625" s="4"/>
      <c r="H625" s="1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12"/>
      <c r="E626" s="4"/>
      <c r="F626" s="12"/>
      <c r="G626" s="4"/>
      <c r="H626" s="1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12"/>
      <c r="E627" s="4"/>
      <c r="F627" s="12"/>
      <c r="G627" s="4"/>
      <c r="H627" s="1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12"/>
      <c r="E628" s="4"/>
      <c r="F628" s="12"/>
      <c r="G628" s="4"/>
      <c r="H628" s="1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12"/>
      <c r="E629" s="4"/>
      <c r="F629" s="12"/>
      <c r="G629" s="4"/>
      <c r="H629" s="1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12"/>
      <c r="E630" s="4"/>
      <c r="F630" s="12"/>
      <c r="G630" s="4"/>
      <c r="H630" s="1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12"/>
      <c r="E631" s="4"/>
      <c r="F631" s="12"/>
      <c r="G631" s="4"/>
      <c r="H631" s="1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12"/>
      <c r="E632" s="4"/>
      <c r="F632" s="12"/>
      <c r="G632" s="4"/>
      <c r="H632" s="1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12"/>
      <c r="E633" s="4"/>
      <c r="F633" s="12"/>
      <c r="G633" s="4"/>
      <c r="H633" s="1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12"/>
      <c r="E634" s="4"/>
      <c r="F634" s="12"/>
      <c r="G634" s="4"/>
      <c r="H634" s="1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12"/>
      <c r="E635" s="4"/>
      <c r="F635" s="12"/>
      <c r="G635" s="4"/>
      <c r="H635" s="1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12"/>
      <c r="E636" s="4"/>
      <c r="F636" s="12"/>
      <c r="G636" s="4"/>
      <c r="H636" s="1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12"/>
      <c r="E637" s="4"/>
      <c r="F637" s="12"/>
      <c r="G637" s="4"/>
      <c r="H637" s="1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12"/>
      <c r="E638" s="4"/>
      <c r="F638" s="12"/>
      <c r="G638" s="4"/>
      <c r="H638" s="1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12"/>
      <c r="E639" s="4"/>
      <c r="F639" s="12"/>
      <c r="G639" s="4"/>
      <c r="H639" s="1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12"/>
      <c r="E640" s="4"/>
      <c r="F640" s="12"/>
      <c r="G640" s="4"/>
      <c r="H640" s="1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12"/>
      <c r="E641" s="4"/>
      <c r="F641" s="12"/>
      <c r="G641" s="4"/>
      <c r="H641" s="1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12"/>
      <c r="E642" s="4"/>
      <c r="F642" s="12"/>
      <c r="G642" s="4"/>
      <c r="H642" s="1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12"/>
      <c r="E643" s="4"/>
      <c r="F643" s="12"/>
      <c r="G643" s="4"/>
      <c r="H643" s="1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12"/>
      <c r="E644" s="4"/>
      <c r="F644" s="12"/>
      <c r="G644" s="4"/>
      <c r="H644" s="1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12"/>
      <c r="E645" s="4"/>
      <c r="F645" s="12"/>
      <c r="G645" s="4"/>
      <c r="H645" s="1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12"/>
      <c r="E646" s="4"/>
      <c r="F646" s="12"/>
      <c r="G646" s="4"/>
      <c r="H646" s="1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12"/>
      <c r="E647" s="4"/>
      <c r="F647" s="12"/>
      <c r="G647" s="4"/>
      <c r="H647" s="1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12"/>
      <c r="E648" s="4"/>
      <c r="F648" s="12"/>
      <c r="G648" s="4"/>
      <c r="H648" s="1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12"/>
      <c r="E649" s="4"/>
      <c r="F649" s="12"/>
      <c r="G649" s="4"/>
      <c r="H649" s="1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12"/>
      <c r="E650" s="4"/>
      <c r="F650" s="12"/>
      <c r="G650" s="4"/>
      <c r="H650" s="1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12"/>
      <c r="E651" s="4"/>
      <c r="F651" s="12"/>
      <c r="G651" s="4"/>
      <c r="H651" s="1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12"/>
      <c r="E652" s="4"/>
      <c r="F652" s="12"/>
      <c r="G652" s="4"/>
      <c r="H652" s="1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12"/>
      <c r="E653" s="4"/>
      <c r="F653" s="12"/>
      <c r="G653" s="4"/>
      <c r="H653" s="1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12"/>
      <c r="E654" s="4"/>
      <c r="F654" s="12"/>
      <c r="G654" s="4"/>
      <c r="H654" s="1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12"/>
      <c r="E655" s="4"/>
      <c r="F655" s="12"/>
      <c r="G655" s="4"/>
      <c r="H655" s="1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12"/>
      <c r="E656" s="4"/>
      <c r="F656" s="12"/>
      <c r="G656" s="4"/>
      <c r="H656" s="1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12"/>
      <c r="E657" s="4"/>
      <c r="F657" s="12"/>
      <c r="G657" s="4"/>
      <c r="H657" s="1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12"/>
      <c r="E658" s="4"/>
      <c r="F658" s="12"/>
      <c r="G658" s="4"/>
      <c r="H658" s="1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12"/>
      <c r="E659" s="4"/>
      <c r="F659" s="12"/>
      <c r="G659" s="4"/>
      <c r="H659" s="1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12"/>
      <c r="E660" s="4"/>
      <c r="F660" s="12"/>
      <c r="G660" s="4"/>
      <c r="H660" s="1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12"/>
      <c r="E661" s="4"/>
      <c r="F661" s="12"/>
      <c r="G661" s="4"/>
      <c r="H661" s="1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12"/>
      <c r="E662" s="4"/>
      <c r="F662" s="12"/>
      <c r="G662" s="4"/>
      <c r="H662" s="1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12"/>
      <c r="E663" s="4"/>
      <c r="F663" s="12"/>
      <c r="G663" s="4"/>
      <c r="H663" s="1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12"/>
      <c r="E664" s="4"/>
      <c r="F664" s="12"/>
      <c r="G664" s="4"/>
      <c r="H664" s="1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12"/>
      <c r="E665" s="4"/>
      <c r="F665" s="12"/>
      <c r="G665" s="4"/>
      <c r="H665" s="1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12"/>
      <c r="E666" s="4"/>
      <c r="F666" s="12"/>
      <c r="G666" s="4"/>
      <c r="H666" s="1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12"/>
      <c r="E667" s="4"/>
      <c r="F667" s="12"/>
      <c r="G667" s="4"/>
      <c r="H667" s="1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12"/>
      <c r="E668" s="4"/>
      <c r="F668" s="12"/>
      <c r="G668" s="4"/>
      <c r="H668" s="1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12"/>
      <c r="E669" s="4"/>
      <c r="F669" s="12"/>
      <c r="G669" s="4"/>
      <c r="H669" s="1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12"/>
      <c r="E670" s="4"/>
      <c r="F670" s="12"/>
      <c r="G670" s="4"/>
      <c r="H670" s="1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12"/>
      <c r="E671" s="4"/>
      <c r="F671" s="12"/>
      <c r="G671" s="4"/>
      <c r="H671" s="1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12"/>
      <c r="E672" s="4"/>
      <c r="F672" s="12"/>
      <c r="G672" s="4"/>
      <c r="H672" s="1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12"/>
      <c r="E673" s="4"/>
      <c r="F673" s="12"/>
      <c r="G673" s="4"/>
      <c r="H673" s="1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12"/>
      <c r="E674" s="4"/>
      <c r="F674" s="12"/>
      <c r="G674" s="4"/>
      <c r="H674" s="1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12"/>
      <c r="E675" s="4"/>
      <c r="F675" s="12"/>
      <c r="G675" s="4"/>
      <c r="H675" s="1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12"/>
      <c r="E676" s="4"/>
      <c r="F676" s="12"/>
      <c r="G676" s="4"/>
      <c r="H676" s="1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12"/>
      <c r="E677" s="4"/>
      <c r="F677" s="12"/>
      <c r="G677" s="4"/>
      <c r="H677" s="1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12"/>
      <c r="E678" s="4"/>
      <c r="F678" s="12"/>
      <c r="G678" s="4"/>
      <c r="H678" s="1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12"/>
      <c r="E679" s="4"/>
      <c r="F679" s="12"/>
      <c r="G679" s="4"/>
      <c r="H679" s="1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12"/>
      <c r="E680" s="4"/>
      <c r="F680" s="12"/>
      <c r="G680" s="4"/>
      <c r="H680" s="1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12"/>
      <c r="E681" s="4"/>
      <c r="F681" s="12"/>
      <c r="G681" s="4"/>
      <c r="H681" s="1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12"/>
      <c r="E682" s="4"/>
      <c r="F682" s="12"/>
      <c r="G682" s="4"/>
      <c r="H682" s="1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12"/>
      <c r="E683" s="4"/>
      <c r="F683" s="12"/>
      <c r="G683" s="4"/>
      <c r="H683" s="1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12"/>
      <c r="E684" s="4"/>
      <c r="F684" s="12"/>
      <c r="G684" s="4"/>
      <c r="H684" s="1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12"/>
      <c r="E685" s="4"/>
      <c r="F685" s="12"/>
      <c r="G685" s="4"/>
      <c r="H685" s="1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12"/>
      <c r="E686" s="4"/>
      <c r="F686" s="12"/>
      <c r="G686" s="4"/>
      <c r="H686" s="1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12"/>
      <c r="E687" s="4"/>
      <c r="F687" s="12"/>
      <c r="G687" s="4"/>
      <c r="H687" s="1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12"/>
      <c r="E688" s="4"/>
      <c r="F688" s="12"/>
      <c r="G688" s="4"/>
      <c r="H688" s="1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12"/>
      <c r="E689" s="4"/>
      <c r="F689" s="12"/>
      <c r="G689" s="4"/>
      <c r="H689" s="1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12"/>
      <c r="E690" s="4"/>
      <c r="F690" s="12"/>
      <c r="G690" s="4"/>
      <c r="H690" s="1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12"/>
      <c r="E691" s="4"/>
      <c r="F691" s="12"/>
      <c r="G691" s="4"/>
      <c r="H691" s="1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12"/>
      <c r="E692" s="4"/>
      <c r="F692" s="12"/>
      <c r="G692" s="4"/>
      <c r="H692" s="1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12"/>
      <c r="E693" s="4"/>
      <c r="F693" s="12"/>
      <c r="G693" s="4"/>
      <c r="H693" s="1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12"/>
      <c r="E694" s="4"/>
      <c r="F694" s="12"/>
      <c r="G694" s="4"/>
      <c r="H694" s="1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12"/>
      <c r="E695" s="4"/>
      <c r="F695" s="12"/>
      <c r="G695" s="4"/>
      <c r="H695" s="1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12"/>
      <c r="E696" s="4"/>
      <c r="F696" s="12"/>
      <c r="G696" s="4"/>
      <c r="H696" s="1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12"/>
      <c r="E697" s="4"/>
      <c r="F697" s="12"/>
      <c r="G697" s="4"/>
      <c r="H697" s="1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12"/>
      <c r="E698" s="4"/>
      <c r="F698" s="12"/>
      <c r="G698" s="4"/>
      <c r="H698" s="1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12"/>
      <c r="E699" s="4"/>
      <c r="F699" s="12"/>
      <c r="G699" s="4"/>
      <c r="H699" s="1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12"/>
      <c r="E700" s="4"/>
      <c r="F700" s="12"/>
      <c r="G700" s="4"/>
      <c r="H700" s="1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12"/>
      <c r="E701" s="4"/>
      <c r="F701" s="12"/>
      <c r="G701" s="4"/>
      <c r="H701" s="1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12"/>
      <c r="E702" s="4"/>
      <c r="F702" s="12"/>
      <c r="G702" s="4"/>
      <c r="H702" s="1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12"/>
      <c r="E703" s="4"/>
      <c r="F703" s="12"/>
      <c r="G703" s="4"/>
      <c r="H703" s="1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12"/>
      <c r="E704" s="4"/>
      <c r="F704" s="12"/>
      <c r="G704" s="4"/>
      <c r="H704" s="1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12"/>
      <c r="E705" s="4"/>
      <c r="F705" s="12"/>
      <c r="G705" s="4"/>
      <c r="H705" s="1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12"/>
      <c r="E706" s="4"/>
      <c r="F706" s="12"/>
      <c r="G706" s="4"/>
      <c r="H706" s="1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12"/>
      <c r="E707" s="4"/>
      <c r="F707" s="12"/>
      <c r="G707" s="4"/>
      <c r="H707" s="1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12"/>
      <c r="E708" s="4"/>
      <c r="F708" s="12"/>
      <c r="G708" s="4"/>
      <c r="H708" s="1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12"/>
      <c r="E709" s="4"/>
      <c r="F709" s="12"/>
      <c r="G709" s="4"/>
      <c r="H709" s="1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12"/>
      <c r="E710" s="4"/>
      <c r="F710" s="12"/>
      <c r="G710" s="4"/>
      <c r="H710" s="1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12"/>
      <c r="E711" s="4"/>
      <c r="F711" s="12"/>
      <c r="G711" s="4"/>
      <c r="H711" s="1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12"/>
      <c r="E712" s="4"/>
      <c r="F712" s="12"/>
      <c r="G712" s="4"/>
      <c r="H712" s="1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12"/>
      <c r="E713" s="4"/>
      <c r="F713" s="12"/>
      <c r="G713" s="4"/>
      <c r="H713" s="1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12"/>
      <c r="E714" s="4"/>
      <c r="F714" s="12"/>
      <c r="G714" s="4"/>
      <c r="H714" s="1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12"/>
      <c r="E715" s="4"/>
      <c r="F715" s="12"/>
      <c r="G715" s="4"/>
      <c r="H715" s="1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12"/>
      <c r="E716" s="4"/>
      <c r="F716" s="12"/>
      <c r="G716" s="4"/>
      <c r="H716" s="1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12"/>
      <c r="E717" s="4"/>
      <c r="F717" s="12"/>
      <c r="G717" s="4"/>
      <c r="H717" s="1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12"/>
      <c r="E718" s="4"/>
      <c r="F718" s="12"/>
      <c r="G718" s="4"/>
      <c r="H718" s="1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12"/>
      <c r="E719" s="4"/>
      <c r="F719" s="12"/>
      <c r="G719" s="4"/>
      <c r="H719" s="1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12"/>
      <c r="E720" s="4"/>
      <c r="F720" s="12"/>
      <c r="G720" s="4"/>
      <c r="H720" s="1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12"/>
      <c r="E721" s="4"/>
      <c r="F721" s="12"/>
      <c r="G721" s="4"/>
      <c r="H721" s="1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12"/>
      <c r="E722" s="4"/>
      <c r="F722" s="12"/>
      <c r="G722" s="4"/>
      <c r="H722" s="1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12"/>
      <c r="E723" s="4"/>
      <c r="F723" s="12"/>
      <c r="G723" s="4"/>
      <c r="H723" s="1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12"/>
      <c r="E724" s="4"/>
      <c r="F724" s="12"/>
      <c r="G724" s="4"/>
      <c r="H724" s="1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12"/>
      <c r="E725" s="4"/>
      <c r="F725" s="12"/>
      <c r="G725" s="4"/>
      <c r="H725" s="1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12"/>
      <c r="E726" s="4"/>
      <c r="F726" s="12"/>
      <c r="G726" s="4"/>
      <c r="H726" s="1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12"/>
      <c r="E727" s="4"/>
      <c r="F727" s="12"/>
      <c r="G727" s="4"/>
      <c r="H727" s="1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12"/>
      <c r="E728" s="4"/>
      <c r="F728" s="12"/>
      <c r="G728" s="4"/>
      <c r="H728" s="1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12"/>
      <c r="E729" s="4"/>
      <c r="F729" s="12"/>
      <c r="G729" s="4"/>
      <c r="H729" s="1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12"/>
      <c r="E730" s="4"/>
      <c r="F730" s="12"/>
      <c r="G730" s="4"/>
      <c r="H730" s="1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12"/>
      <c r="E731" s="4"/>
      <c r="F731" s="12"/>
      <c r="G731" s="4"/>
      <c r="H731" s="1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12"/>
      <c r="E732" s="4"/>
      <c r="F732" s="12"/>
      <c r="G732" s="4"/>
      <c r="H732" s="1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12"/>
      <c r="E733" s="4"/>
      <c r="F733" s="12"/>
      <c r="G733" s="4"/>
      <c r="H733" s="1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12"/>
      <c r="E734" s="4"/>
      <c r="F734" s="12"/>
      <c r="G734" s="4"/>
      <c r="H734" s="1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12"/>
      <c r="E735" s="4"/>
      <c r="F735" s="12"/>
      <c r="G735" s="4"/>
      <c r="H735" s="1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12"/>
      <c r="E736" s="4"/>
      <c r="F736" s="12"/>
      <c r="G736" s="4"/>
      <c r="H736" s="1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12"/>
      <c r="E737" s="4"/>
      <c r="F737" s="12"/>
      <c r="G737" s="4"/>
      <c r="H737" s="1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12"/>
      <c r="E738" s="4"/>
      <c r="F738" s="12"/>
      <c r="G738" s="4"/>
      <c r="H738" s="1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12"/>
      <c r="E739" s="4"/>
      <c r="F739" s="12"/>
      <c r="G739" s="4"/>
      <c r="H739" s="1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12"/>
      <c r="E740" s="4"/>
      <c r="F740" s="12"/>
      <c r="G740" s="4"/>
      <c r="H740" s="1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12"/>
      <c r="E741" s="4"/>
      <c r="F741" s="12"/>
      <c r="G741" s="4"/>
      <c r="H741" s="1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12"/>
      <c r="E742" s="4"/>
      <c r="F742" s="12"/>
      <c r="G742" s="4"/>
      <c r="H742" s="1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12"/>
      <c r="E743" s="4"/>
      <c r="F743" s="12"/>
      <c r="G743" s="4"/>
      <c r="H743" s="1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12"/>
      <c r="E744" s="4"/>
      <c r="F744" s="12"/>
      <c r="G744" s="4"/>
      <c r="H744" s="1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12"/>
      <c r="E745" s="4"/>
      <c r="F745" s="12"/>
      <c r="G745" s="4"/>
      <c r="H745" s="1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12"/>
      <c r="E746" s="4"/>
      <c r="F746" s="12"/>
      <c r="G746" s="4"/>
      <c r="H746" s="1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12"/>
      <c r="E747" s="4"/>
      <c r="F747" s="12"/>
      <c r="G747" s="4"/>
      <c r="H747" s="1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12"/>
      <c r="E748" s="4"/>
      <c r="F748" s="12"/>
      <c r="G748" s="4"/>
      <c r="H748" s="1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12"/>
      <c r="E749" s="4"/>
      <c r="F749" s="12"/>
      <c r="G749" s="4"/>
      <c r="H749" s="1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12"/>
      <c r="E750" s="4"/>
      <c r="F750" s="12"/>
      <c r="G750" s="4"/>
      <c r="H750" s="1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12"/>
      <c r="E751" s="4"/>
      <c r="F751" s="12"/>
      <c r="G751" s="4"/>
      <c r="H751" s="1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12"/>
      <c r="E752" s="4"/>
      <c r="F752" s="12"/>
      <c r="G752" s="4"/>
      <c r="H752" s="1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12"/>
      <c r="E753" s="4"/>
      <c r="F753" s="12"/>
      <c r="G753" s="4"/>
      <c r="H753" s="1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12"/>
      <c r="E754" s="4"/>
      <c r="F754" s="12"/>
      <c r="G754" s="4"/>
      <c r="H754" s="1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12"/>
      <c r="E755" s="4"/>
      <c r="F755" s="12"/>
      <c r="G755" s="4"/>
      <c r="H755" s="1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12"/>
      <c r="E756" s="4"/>
      <c r="F756" s="12"/>
      <c r="G756" s="4"/>
      <c r="H756" s="1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12"/>
      <c r="E757" s="4"/>
      <c r="F757" s="12"/>
      <c r="G757" s="4"/>
      <c r="H757" s="1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12"/>
      <c r="E758" s="4"/>
      <c r="F758" s="12"/>
      <c r="G758" s="4"/>
      <c r="H758" s="1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12"/>
      <c r="E759" s="4"/>
      <c r="F759" s="12"/>
      <c r="G759" s="4"/>
      <c r="H759" s="1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12"/>
      <c r="E760" s="4"/>
      <c r="F760" s="12"/>
      <c r="G760" s="4"/>
      <c r="H760" s="1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12"/>
      <c r="E761" s="4"/>
      <c r="F761" s="12"/>
      <c r="G761" s="4"/>
      <c r="H761" s="1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12"/>
      <c r="E762" s="4"/>
      <c r="F762" s="12"/>
      <c r="G762" s="4"/>
      <c r="H762" s="1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12"/>
      <c r="E763" s="4"/>
      <c r="F763" s="12"/>
      <c r="G763" s="4"/>
      <c r="H763" s="1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12"/>
      <c r="E764" s="4"/>
      <c r="F764" s="12"/>
      <c r="G764" s="4"/>
      <c r="H764" s="1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12"/>
      <c r="E765" s="4"/>
      <c r="F765" s="12"/>
      <c r="G765" s="4"/>
      <c r="H765" s="1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12"/>
      <c r="E766" s="4"/>
      <c r="F766" s="12"/>
      <c r="G766" s="4"/>
      <c r="H766" s="1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12"/>
      <c r="E767" s="4"/>
      <c r="F767" s="12"/>
      <c r="G767" s="4"/>
      <c r="H767" s="1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12"/>
      <c r="E768" s="4"/>
      <c r="F768" s="12"/>
      <c r="G768" s="4"/>
      <c r="H768" s="1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12"/>
      <c r="E769" s="4"/>
      <c r="F769" s="12"/>
      <c r="G769" s="4"/>
      <c r="H769" s="1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12"/>
      <c r="E770" s="4"/>
      <c r="F770" s="12"/>
      <c r="G770" s="4"/>
      <c r="H770" s="1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12"/>
      <c r="E771" s="4"/>
      <c r="F771" s="12"/>
      <c r="G771" s="4"/>
      <c r="H771" s="1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12"/>
      <c r="E772" s="4"/>
      <c r="F772" s="12"/>
      <c r="G772" s="4"/>
      <c r="H772" s="1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12"/>
      <c r="E773" s="4"/>
      <c r="F773" s="12"/>
      <c r="G773" s="4"/>
      <c r="H773" s="1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12"/>
      <c r="E774" s="4"/>
      <c r="F774" s="12"/>
      <c r="G774" s="4"/>
      <c r="H774" s="1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12"/>
      <c r="E775" s="4"/>
      <c r="F775" s="12"/>
      <c r="G775" s="4"/>
      <c r="H775" s="1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12"/>
      <c r="E776" s="4"/>
      <c r="F776" s="12"/>
      <c r="G776" s="4"/>
      <c r="H776" s="1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12"/>
      <c r="E777" s="4"/>
      <c r="F777" s="12"/>
      <c r="G777" s="4"/>
      <c r="H777" s="1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12"/>
      <c r="E778" s="4"/>
      <c r="F778" s="12"/>
      <c r="G778" s="4"/>
      <c r="H778" s="1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12"/>
      <c r="E779" s="4"/>
      <c r="F779" s="12"/>
      <c r="G779" s="4"/>
      <c r="H779" s="1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12"/>
      <c r="E780" s="4"/>
      <c r="F780" s="12"/>
      <c r="G780" s="4"/>
      <c r="H780" s="1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12"/>
      <c r="E781" s="4"/>
      <c r="F781" s="12"/>
      <c r="G781" s="4"/>
      <c r="H781" s="1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12"/>
      <c r="E782" s="4"/>
      <c r="F782" s="12"/>
      <c r="G782" s="4"/>
      <c r="H782" s="1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12"/>
      <c r="E783" s="4"/>
      <c r="F783" s="12"/>
      <c r="G783" s="4"/>
      <c r="H783" s="1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12"/>
      <c r="E784" s="4"/>
      <c r="F784" s="12"/>
      <c r="G784" s="4"/>
      <c r="H784" s="1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12"/>
      <c r="E785" s="4"/>
      <c r="F785" s="12"/>
      <c r="G785" s="4"/>
      <c r="H785" s="1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12"/>
      <c r="E786" s="4"/>
      <c r="F786" s="12"/>
      <c r="G786" s="4"/>
      <c r="H786" s="1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12"/>
      <c r="E787" s="4"/>
      <c r="F787" s="12"/>
      <c r="G787" s="4"/>
      <c r="H787" s="1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12"/>
      <c r="E788" s="4"/>
      <c r="F788" s="12"/>
      <c r="G788" s="4"/>
      <c r="H788" s="1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12"/>
      <c r="E789" s="4"/>
      <c r="F789" s="12"/>
      <c r="G789" s="4"/>
      <c r="H789" s="1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12"/>
      <c r="E790" s="4"/>
      <c r="F790" s="12"/>
      <c r="G790" s="4"/>
      <c r="H790" s="1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12"/>
      <c r="E791" s="4"/>
      <c r="F791" s="12"/>
      <c r="G791" s="4"/>
      <c r="H791" s="1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12"/>
      <c r="E792" s="4"/>
      <c r="F792" s="12"/>
      <c r="G792" s="4"/>
      <c r="H792" s="1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12"/>
      <c r="E793" s="4"/>
      <c r="F793" s="12"/>
      <c r="G793" s="4"/>
      <c r="H793" s="1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12"/>
      <c r="E794" s="4"/>
      <c r="F794" s="12"/>
      <c r="G794" s="4"/>
      <c r="H794" s="1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12"/>
      <c r="E795" s="4"/>
      <c r="F795" s="12"/>
      <c r="G795" s="4"/>
      <c r="H795" s="1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12"/>
      <c r="E796" s="4"/>
      <c r="F796" s="12"/>
      <c r="G796" s="4"/>
      <c r="H796" s="1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12"/>
      <c r="E797" s="4"/>
      <c r="F797" s="12"/>
      <c r="G797" s="4"/>
      <c r="H797" s="1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12"/>
      <c r="E798" s="4"/>
      <c r="F798" s="12"/>
      <c r="G798" s="4"/>
      <c r="H798" s="1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12"/>
      <c r="E799" s="4"/>
      <c r="F799" s="12"/>
      <c r="G799" s="4"/>
      <c r="H799" s="1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12"/>
      <c r="E800" s="4"/>
      <c r="F800" s="12"/>
      <c r="G800" s="4"/>
      <c r="H800" s="1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12"/>
      <c r="E801" s="4"/>
      <c r="F801" s="12"/>
      <c r="G801" s="4"/>
      <c r="H801" s="1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12"/>
      <c r="E802" s="4"/>
      <c r="F802" s="12"/>
      <c r="G802" s="4"/>
      <c r="H802" s="1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12"/>
      <c r="E803" s="4"/>
      <c r="F803" s="12"/>
      <c r="G803" s="4"/>
      <c r="H803" s="1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12"/>
      <c r="E804" s="4"/>
      <c r="F804" s="12"/>
      <c r="G804" s="4"/>
      <c r="H804" s="1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12"/>
      <c r="E805" s="4"/>
      <c r="F805" s="12"/>
      <c r="G805" s="4"/>
      <c r="H805" s="1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12"/>
      <c r="E806" s="4"/>
      <c r="F806" s="12"/>
      <c r="G806" s="4"/>
      <c r="H806" s="1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12"/>
      <c r="E807" s="4"/>
      <c r="F807" s="12"/>
      <c r="G807" s="4"/>
      <c r="H807" s="1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12"/>
      <c r="E808" s="4"/>
      <c r="F808" s="12"/>
      <c r="G808" s="4"/>
      <c r="H808" s="1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12"/>
      <c r="E809" s="4"/>
      <c r="F809" s="12"/>
      <c r="G809" s="4"/>
      <c r="H809" s="1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12"/>
      <c r="E810" s="4"/>
      <c r="F810" s="12"/>
      <c r="G810" s="4"/>
      <c r="H810" s="1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12"/>
      <c r="E811" s="4"/>
      <c r="F811" s="12"/>
      <c r="G811" s="4"/>
      <c r="H811" s="1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12"/>
      <c r="E812" s="4"/>
      <c r="F812" s="12"/>
      <c r="G812" s="4"/>
      <c r="H812" s="1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12"/>
      <c r="E813" s="4"/>
      <c r="F813" s="12"/>
      <c r="G813" s="4"/>
      <c r="H813" s="1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12"/>
      <c r="E814" s="4"/>
      <c r="F814" s="12"/>
      <c r="G814" s="4"/>
      <c r="H814" s="1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12"/>
      <c r="E815" s="4"/>
      <c r="F815" s="12"/>
      <c r="G815" s="4"/>
      <c r="H815" s="1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12"/>
      <c r="E816" s="4"/>
      <c r="F816" s="12"/>
      <c r="G816" s="4"/>
      <c r="H816" s="1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12"/>
      <c r="E817" s="4"/>
      <c r="F817" s="12"/>
      <c r="G817" s="4"/>
      <c r="H817" s="1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12"/>
      <c r="E818" s="4"/>
      <c r="F818" s="12"/>
      <c r="G818" s="4"/>
      <c r="H818" s="1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12"/>
      <c r="E819" s="4"/>
      <c r="F819" s="12"/>
      <c r="G819" s="4"/>
      <c r="H819" s="1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12"/>
      <c r="E820" s="4"/>
      <c r="F820" s="12"/>
      <c r="G820" s="4"/>
      <c r="H820" s="1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12"/>
      <c r="E821" s="4"/>
      <c r="F821" s="12"/>
      <c r="G821" s="4"/>
      <c r="H821" s="1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12"/>
      <c r="E822" s="4"/>
      <c r="F822" s="12"/>
      <c r="G822" s="4"/>
      <c r="H822" s="1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12"/>
      <c r="E823" s="4"/>
      <c r="F823" s="12"/>
      <c r="G823" s="4"/>
      <c r="H823" s="1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12"/>
      <c r="E824" s="4"/>
      <c r="F824" s="12"/>
      <c r="G824" s="4"/>
      <c r="H824" s="1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12"/>
      <c r="E825" s="4"/>
      <c r="F825" s="12"/>
      <c r="G825" s="4"/>
      <c r="H825" s="1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12"/>
      <c r="E826" s="4"/>
      <c r="F826" s="12"/>
      <c r="G826" s="4"/>
      <c r="H826" s="1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12"/>
      <c r="E827" s="4"/>
      <c r="F827" s="12"/>
      <c r="G827" s="4"/>
      <c r="H827" s="1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12"/>
      <c r="E828" s="4"/>
      <c r="F828" s="12"/>
      <c r="G828" s="4"/>
      <c r="H828" s="1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12"/>
      <c r="E829" s="4"/>
      <c r="F829" s="12"/>
      <c r="G829" s="4"/>
      <c r="H829" s="1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12"/>
      <c r="E830" s="4"/>
      <c r="F830" s="12"/>
      <c r="G830" s="4"/>
      <c r="H830" s="1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12"/>
      <c r="E831" s="4"/>
      <c r="F831" s="12"/>
      <c r="G831" s="4"/>
      <c r="H831" s="1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12"/>
      <c r="E832" s="4"/>
      <c r="F832" s="12"/>
      <c r="G832" s="4"/>
      <c r="H832" s="1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12"/>
      <c r="E833" s="4"/>
      <c r="F833" s="12"/>
      <c r="G833" s="4"/>
      <c r="H833" s="1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12"/>
      <c r="E834" s="4"/>
      <c r="F834" s="12"/>
      <c r="G834" s="4"/>
      <c r="H834" s="1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12"/>
      <c r="E835" s="4"/>
      <c r="F835" s="12"/>
      <c r="G835" s="4"/>
      <c r="H835" s="1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12"/>
      <c r="E836" s="4"/>
      <c r="F836" s="12"/>
      <c r="G836" s="4"/>
      <c r="H836" s="1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12"/>
      <c r="E837" s="4"/>
      <c r="F837" s="12"/>
      <c r="G837" s="4"/>
      <c r="H837" s="1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12"/>
      <c r="E838" s="4"/>
      <c r="F838" s="12"/>
      <c r="G838" s="4"/>
      <c r="H838" s="1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12"/>
      <c r="E839" s="4"/>
      <c r="F839" s="12"/>
      <c r="G839" s="4"/>
      <c r="H839" s="1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12"/>
      <c r="E840" s="4"/>
      <c r="F840" s="12"/>
      <c r="G840" s="4"/>
      <c r="H840" s="1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12"/>
      <c r="E841" s="4"/>
      <c r="F841" s="12"/>
      <c r="G841" s="4"/>
      <c r="H841" s="1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12"/>
      <c r="E842" s="4"/>
      <c r="F842" s="12"/>
      <c r="G842" s="4"/>
      <c r="H842" s="1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12"/>
      <c r="E843" s="4"/>
      <c r="F843" s="12"/>
      <c r="G843" s="4"/>
      <c r="H843" s="1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12"/>
      <c r="E844" s="4"/>
      <c r="F844" s="12"/>
      <c r="G844" s="4"/>
      <c r="H844" s="1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12"/>
      <c r="E845" s="4"/>
      <c r="F845" s="12"/>
      <c r="G845" s="4"/>
      <c r="H845" s="1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12"/>
      <c r="E846" s="4"/>
      <c r="F846" s="12"/>
      <c r="G846" s="4"/>
      <c r="H846" s="1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12"/>
      <c r="E847" s="4"/>
      <c r="F847" s="12"/>
      <c r="G847" s="4"/>
      <c r="H847" s="1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12"/>
      <c r="E848" s="4"/>
      <c r="F848" s="12"/>
      <c r="G848" s="4"/>
      <c r="H848" s="1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12"/>
      <c r="E849" s="4"/>
      <c r="F849" s="12"/>
      <c r="G849" s="4"/>
      <c r="H849" s="1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12"/>
      <c r="E850" s="4"/>
      <c r="F850" s="12"/>
      <c r="G850" s="4"/>
      <c r="H850" s="1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12"/>
      <c r="E851" s="4"/>
      <c r="F851" s="12"/>
      <c r="G851" s="4"/>
      <c r="H851" s="1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12"/>
      <c r="E852" s="4"/>
      <c r="F852" s="12"/>
      <c r="G852" s="4"/>
      <c r="H852" s="1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12"/>
      <c r="E853" s="4"/>
      <c r="F853" s="12"/>
      <c r="G853" s="4"/>
      <c r="H853" s="1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12"/>
      <c r="E854" s="4"/>
      <c r="F854" s="12"/>
      <c r="G854" s="4"/>
      <c r="H854" s="1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12"/>
      <c r="E855" s="4"/>
      <c r="F855" s="12"/>
      <c r="G855" s="4"/>
      <c r="H855" s="1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12"/>
      <c r="E856" s="4"/>
      <c r="F856" s="12"/>
      <c r="G856" s="4"/>
      <c r="H856" s="1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12"/>
      <c r="E857" s="4"/>
      <c r="F857" s="12"/>
      <c r="G857" s="4"/>
      <c r="H857" s="1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12"/>
      <c r="E858" s="4"/>
      <c r="F858" s="12"/>
      <c r="G858" s="4"/>
      <c r="H858" s="1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12"/>
      <c r="E859" s="4"/>
      <c r="F859" s="12"/>
      <c r="G859" s="4"/>
      <c r="H859" s="1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12"/>
      <c r="E860" s="4"/>
      <c r="F860" s="12"/>
      <c r="G860" s="4"/>
      <c r="H860" s="1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12"/>
      <c r="E861" s="4"/>
      <c r="F861" s="12"/>
      <c r="G861" s="4"/>
      <c r="H861" s="1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12"/>
      <c r="E862" s="4"/>
      <c r="F862" s="12"/>
      <c r="G862" s="4"/>
      <c r="H862" s="1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12"/>
      <c r="E863" s="4"/>
      <c r="F863" s="12"/>
      <c r="G863" s="4"/>
      <c r="H863" s="1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12"/>
      <c r="E864" s="4"/>
      <c r="F864" s="12"/>
      <c r="G864" s="4"/>
      <c r="H864" s="1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12"/>
      <c r="E865" s="4"/>
      <c r="F865" s="12"/>
      <c r="G865" s="4"/>
      <c r="H865" s="1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12"/>
      <c r="E866" s="4"/>
      <c r="F866" s="12"/>
      <c r="G866" s="4"/>
      <c r="H866" s="1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12"/>
      <c r="E867" s="4"/>
      <c r="F867" s="12"/>
      <c r="G867" s="4"/>
      <c r="H867" s="1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12"/>
      <c r="E868" s="4"/>
      <c r="F868" s="12"/>
      <c r="G868" s="4"/>
      <c r="H868" s="1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12"/>
      <c r="E869" s="4"/>
      <c r="F869" s="12"/>
      <c r="G869" s="4"/>
      <c r="H869" s="1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12"/>
      <c r="E870" s="4"/>
      <c r="F870" s="12"/>
      <c r="G870" s="4"/>
      <c r="H870" s="1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12"/>
      <c r="E871" s="4"/>
      <c r="F871" s="12"/>
      <c r="G871" s="4"/>
      <c r="H871" s="1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12"/>
      <c r="E872" s="4"/>
      <c r="F872" s="12"/>
      <c r="G872" s="4"/>
      <c r="H872" s="1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12"/>
      <c r="E873" s="4"/>
      <c r="F873" s="12"/>
      <c r="G873" s="4"/>
      <c r="H873" s="1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12"/>
      <c r="E874" s="4"/>
      <c r="F874" s="12"/>
      <c r="G874" s="4"/>
      <c r="H874" s="1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12"/>
      <c r="E875" s="4"/>
      <c r="F875" s="12"/>
      <c r="G875" s="4"/>
      <c r="H875" s="1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12"/>
      <c r="E876" s="4"/>
      <c r="F876" s="12"/>
      <c r="G876" s="4"/>
      <c r="H876" s="1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12"/>
      <c r="E877" s="4"/>
      <c r="F877" s="12"/>
      <c r="G877" s="4"/>
      <c r="H877" s="1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12"/>
      <c r="E878" s="4"/>
      <c r="F878" s="12"/>
      <c r="G878" s="4"/>
      <c r="H878" s="1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12"/>
      <c r="E879" s="4"/>
      <c r="F879" s="12"/>
      <c r="G879" s="4"/>
      <c r="H879" s="1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12"/>
      <c r="E880" s="4"/>
      <c r="F880" s="12"/>
      <c r="G880" s="4"/>
      <c r="H880" s="1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12"/>
      <c r="E881" s="4"/>
      <c r="F881" s="12"/>
      <c r="G881" s="4"/>
      <c r="H881" s="1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12"/>
      <c r="E882" s="4"/>
      <c r="F882" s="12"/>
      <c r="G882" s="4"/>
      <c r="H882" s="1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12"/>
      <c r="E883" s="4"/>
      <c r="F883" s="12"/>
      <c r="G883" s="4"/>
      <c r="H883" s="1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12"/>
      <c r="E884" s="4"/>
      <c r="F884" s="12"/>
      <c r="G884" s="4"/>
      <c r="H884" s="1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12"/>
      <c r="E885" s="4"/>
      <c r="F885" s="12"/>
      <c r="G885" s="4"/>
      <c r="H885" s="1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12"/>
      <c r="E886" s="4"/>
      <c r="F886" s="12"/>
      <c r="G886" s="4"/>
      <c r="H886" s="1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12"/>
      <c r="E887" s="4"/>
      <c r="F887" s="12"/>
      <c r="G887" s="4"/>
      <c r="H887" s="1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12"/>
      <c r="E888" s="4"/>
      <c r="F888" s="12"/>
      <c r="G888" s="4"/>
      <c r="H888" s="1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12"/>
      <c r="E889" s="4"/>
      <c r="F889" s="12"/>
      <c r="G889" s="4"/>
      <c r="H889" s="1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12"/>
      <c r="E890" s="4"/>
      <c r="F890" s="12"/>
      <c r="G890" s="4"/>
      <c r="H890" s="1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12"/>
      <c r="E891" s="4"/>
      <c r="F891" s="12"/>
      <c r="G891" s="4"/>
      <c r="H891" s="1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12"/>
      <c r="E892" s="4"/>
      <c r="F892" s="12"/>
      <c r="G892" s="4"/>
      <c r="H892" s="1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12"/>
      <c r="E893" s="4"/>
      <c r="F893" s="12"/>
      <c r="G893" s="4"/>
      <c r="H893" s="1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12"/>
      <c r="E894" s="4"/>
      <c r="F894" s="12"/>
      <c r="G894" s="4"/>
      <c r="H894" s="1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12"/>
      <c r="E895" s="4"/>
      <c r="F895" s="12"/>
      <c r="G895" s="4"/>
      <c r="H895" s="1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12"/>
      <c r="E896" s="4"/>
      <c r="F896" s="12"/>
      <c r="G896" s="4"/>
      <c r="H896" s="1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12"/>
      <c r="E897" s="4"/>
      <c r="F897" s="12"/>
      <c r="G897" s="4"/>
      <c r="H897" s="1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12"/>
      <c r="E898" s="4"/>
      <c r="F898" s="12"/>
      <c r="G898" s="4"/>
      <c r="H898" s="1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12"/>
      <c r="E899" s="4"/>
      <c r="F899" s="12"/>
      <c r="G899" s="4"/>
      <c r="H899" s="1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12"/>
      <c r="E900" s="4"/>
      <c r="F900" s="12"/>
      <c r="G900" s="4"/>
      <c r="H900" s="1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12"/>
      <c r="E901" s="4"/>
      <c r="F901" s="12"/>
      <c r="G901" s="4"/>
      <c r="H901" s="1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12"/>
      <c r="E902" s="4"/>
      <c r="F902" s="12"/>
      <c r="G902" s="4"/>
      <c r="H902" s="1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12"/>
      <c r="E903" s="4"/>
      <c r="F903" s="12"/>
      <c r="G903" s="4"/>
      <c r="H903" s="1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12"/>
      <c r="E904" s="4"/>
      <c r="F904" s="12"/>
      <c r="G904" s="4"/>
      <c r="H904" s="1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12"/>
      <c r="E905" s="4"/>
      <c r="F905" s="12"/>
      <c r="G905" s="4"/>
      <c r="H905" s="1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12"/>
      <c r="E906" s="4"/>
      <c r="F906" s="12"/>
      <c r="G906" s="4"/>
      <c r="H906" s="1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12"/>
      <c r="E907" s="4"/>
      <c r="F907" s="12"/>
      <c r="G907" s="4"/>
      <c r="H907" s="1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12"/>
      <c r="E908" s="4"/>
      <c r="F908" s="12"/>
      <c r="G908" s="4"/>
      <c r="H908" s="1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12"/>
      <c r="E909" s="4"/>
      <c r="F909" s="12"/>
      <c r="G909" s="4"/>
      <c r="H909" s="1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12"/>
      <c r="E910" s="4"/>
      <c r="F910" s="12"/>
      <c r="G910" s="4"/>
      <c r="H910" s="1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12"/>
      <c r="E911" s="4"/>
      <c r="F911" s="12"/>
      <c r="G911" s="4"/>
      <c r="H911" s="1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12"/>
      <c r="E912" s="4"/>
      <c r="F912" s="12"/>
      <c r="G912" s="4"/>
      <c r="H912" s="1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12"/>
      <c r="E913" s="4"/>
      <c r="F913" s="12"/>
      <c r="G913" s="4"/>
      <c r="H913" s="1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12"/>
      <c r="E914" s="4"/>
      <c r="F914" s="12"/>
      <c r="G914" s="4"/>
      <c r="H914" s="1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12"/>
      <c r="E915" s="4"/>
      <c r="F915" s="12"/>
      <c r="G915" s="4"/>
      <c r="H915" s="1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12"/>
      <c r="E916" s="4"/>
      <c r="F916" s="12"/>
      <c r="G916" s="4"/>
      <c r="H916" s="1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12"/>
      <c r="E917" s="4"/>
      <c r="F917" s="12"/>
      <c r="G917" s="4"/>
      <c r="H917" s="1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12"/>
      <c r="E918" s="4"/>
      <c r="F918" s="12"/>
      <c r="G918" s="4"/>
      <c r="H918" s="1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12"/>
      <c r="E919" s="4"/>
      <c r="F919" s="12"/>
      <c r="G919" s="4"/>
      <c r="H919" s="1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12"/>
      <c r="E920" s="4"/>
      <c r="F920" s="12"/>
      <c r="G920" s="4"/>
      <c r="H920" s="1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12"/>
      <c r="E921" s="4"/>
      <c r="F921" s="12"/>
      <c r="G921" s="4"/>
      <c r="H921" s="1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12"/>
      <c r="E922" s="4"/>
      <c r="F922" s="12"/>
      <c r="G922" s="4"/>
      <c r="H922" s="1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12"/>
      <c r="E923" s="4"/>
      <c r="F923" s="12"/>
      <c r="G923" s="4"/>
      <c r="H923" s="1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12"/>
      <c r="E924" s="4"/>
      <c r="F924" s="12"/>
      <c r="G924" s="4"/>
      <c r="H924" s="1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12"/>
      <c r="E925" s="4"/>
      <c r="F925" s="12"/>
      <c r="G925" s="4"/>
      <c r="H925" s="1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12"/>
      <c r="E926" s="4"/>
      <c r="F926" s="12"/>
      <c r="G926" s="4"/>
      <c r="H926" s="1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12"/>
      <c r="E927" s="4"/>
      <c r="F927" s="12"/>
      <c r="G927" s="4"/>
      <c r="H927" s="1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12"/>
      <c r="E928" s="4"/>
      <c r="F928" s="12"/>
      <c r="G928" s="4"/>
      <c r="H928" s="1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12"/>
      <c r="E929" s="4"/>
      <c r="F929" s="12"/>
      <c r="G929" s="4"/>
      <c r="H929" s="1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12"/>
      <c r="E930" s="4"/>
      <c r="F930" s="12"/>
      <c r="G930" s="4"/>
      <c r="H930" s="1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12"/>
      <c r="E931" s="4"/>
      <c r="F931" s="12"/>
      <c r="G931" s="4"/>
      <c r="H931" s="1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12"/>
      <c r="E932" s="4"/>
      <c r="F932" s="12"/>
      <c r="G932" s="4"/>
      <c r="H932" s="1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12"/>
      <c r="E933" s="4"/>
      <c r="F933" s="12"/>
      <c r="G933" s="4"/>
      <c r="H933" s="1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12"/>
      <c r="E934" s="4"/>
      <c r="F934" s="12"/>
      <c r="G934" s="4"/>
      <c r="H934" s="1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12"/>
      <c r="E935" s="4"/>
      <c r="F935" s="12"/>
      <c r="G935" s="4"/>
      <c r="H935" s="1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12"/>
      <c r="E936" s="4"/>
      <c r="F936" s="12"/>
      <c r="G936" s="4"/>
      <c r="H936" s="1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12"/>
      <c r="E937" s="4"/>
      <c r="F937" s="12"/>
      <c r="G937" s="4"/>
      <c r="H937" s="1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12"/>
      <c r="E938" s="4"/>
      <c r="F938" s="12"/>
      <c r="G938" s="4"/>
      <c r="H938" s="1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12"/>
      <c r="E939" s="4"/>
      <c r="F939" s="12"/>
      <c r="G939" s="4"/>
      <c r="H939" s="1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12"/>
      <c r="E940" s="4"/>
      <c r="F940" s="12"/>
      <c r="G940" s="4"/>
      <c r="H940" s="1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12"/>
      <c r="E941" s="4"/>
      <c r="F941" s="12"/>
      <c r="G941" s="4"/>
      <c r="H941" s="1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12"/>
      <c r="E942" s="4"/>
      <c r="F942" s="12"/>
      <c r="G942" s="4"/>
      <c r="H942" s="1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12"/>
      <c r="E943" s="4"/>
      <c r="F943" s="12"/>
      <c r="G943" s="4"/>
      <c r="H943" s="1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12"/>
      <c r="E944" s="4"/>
      <c r="F944" s="12"/>
      <c r="G944" s="4"/>
      <c r="H944" s="1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12"/>
      <c r="E945" s="4"/>
      <c r="F945" s="12"/>
      <c r="G945" s="4"/>
      <c r="H945" s="1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12"/>
      <c r="E946" s="4"/>
      <c r="F946" s="12"/>
      <c r="G946" s="4"/>
      <c r="H946" s="1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12"/>
      <c r="E947" s="4"/>
      <c r="F947" s="12"/>
      <c r="G947" s="4"/>
      <c r="H947" s="1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12"/>
      <c r="E948" s="4"/>
      <c r="F948" s="12"/>
      <c r="G948" s="4"/>
      <c r="H948" s="1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12"/>
      <c r="E949" s="4"/>
      <c r="F949" s="12"/>
      <c r="G949" s="4"/>
      <c r="H949" s="1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12"/>
      <c r="E950" s="4"/>
      <c r="F950" s="12"/>
      <c r="G950" s="4"/>
      <c r="H950" s="1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12"/>
      <c r="E951" s="4"/>
      <c r="F951" s="12"/>
      <c r="G951" s="4"/>
      <c r="H951" s="1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12"/>
      <c r="E952" s="4"/>
      <c r="F952" s="12"/>
      <c r="G952" s="4"/>
      <c r="H952" s="1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12"/>
      <c r="E953" s="4"/>
      <c r="F953" s="12"/>
      <c r="G953" s="4"/>
      <c r="H953" s="1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12"/>
      <c r="E954" s="4"/>
      <c r="F954" s="12"/>
      <c r="G954" s="4"/>
      <c r="H954" s="1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12"/>
      <c r="E955" s="4"/>
      <c r="F955" s="12"/>
      <c r="G955" s="4"/>
      <c r="H955" s="1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12"/>
      <c r="E956" s="4"/>
      <c r="F956" s="12"/>
      <c r="G956" s="4"/>
      <c r="H956" s="1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12"/>
      <c r="E957" s="4"/>
      <c r="F957" s="12"/>
      <c r="G957" s="4"/>
      <c r="H957" s="1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12"/>
      <c r="E958" s="4"/>
      <c r="F958" s="12"/>
      <c r="G958" s="4"/>
      <c r="H958" s="1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12"/>
      <c r="E959" s="4"/>
      <c r="F959" s="12"/>
      <c r="G959" s="4"/>
      <c r="H959" s="1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12"/>
      <c r="E960" s="4"/>
      <c r="F960" s="12"/>
      <c r="G960" s="4"/>
      <c r="H960" s="1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12"/>
      <c r="E961" s="4"/>
      <c r="F961" s="12"/>
      <c r="G961" s="4"/>
      <c r="H961" s="1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12"/>
      <c r="E962" s="4"/>
      <c r="F962" s="12"/>
      <c r="G962" s="4"/>
      <c r="H962" s="1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12"/>
      <c r="E963" s="4"/>
      <c r="F963" s="12"/>
      <c r="G963" s="4"/>
      <c r="H963" s="1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12"/>
      <c r="E964" s="4"/>
      <c r="F964" s="12"/>
      <c r="G964" s="4"/>
      <c r="H964" s="1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12"/>
      <c r="E965" s="4"/>
      <c r="F965" s="12"/>
      <c r="G965" s="4"/>
      <c r="H965" s="1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12"/>
      <c r="E966" s="4"/>
      <c r="F966" s="12"/>
      <c r="G966" s="4"/>
      <c r="H966" s="1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12"/>
      <c r="E967" s="4"/>
      <c r="F967" s="12"/>
      <c r="G967" s="4"/>
      <c r="H967" s="1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12"/>
      <c r="E968" s="4"/>
      <c r="F968" s="12"/>
      <c r="G968" s="4"/>
      <c r="H968" s="1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12"/>
      <c r="E969" s="4"/>
      <c r="F969" s="12"/>
      <c r="G969" s="4"/>
      <c r="H969" s="1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12"/>
      <c r="E970" s="4"/>
      <c r="F970" s="12"/>
      <c r="G970" s="4"/>
      <c r="H970" s="1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12"/>
      <c r="E971" s="4"/>
      <c r="F971" s="12"/>
      <c r="G971" s="4"/>
      <c r="H971" s="1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12"/>
      <c r="E972" s="4"/>
      <c r="F972" s="12"/>
      <c r="G972" s="4"/>
      <c r="H972" s="1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12"/>
      <c r="E973" s="4"/>
      <c r="F973" s="12"/>
      <c r="G973" s="4"/>
      <c r="H973" s="1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12"/>
      <c r="E974" s="4"/>
      <c r="F974" s="12"/>
      <c r="G974" s="4"/>
      <c r="H974" s="1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12"/>
      <c r="E975" s="4"/>
      <c r="F975" s="12"/>
      <c r="G975" s="4"/>
      <c r="H975" s="1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12"/>
      <c r="E976" s="4"/>
      <c r="F976" s="12"/>
      <c r="G976" s="4"/>
      <c r="H976" s="1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12"/>
      <c r="E977" s="4"/>
      <c r="F977" s="12"/>
      <c r="G977" s="4"/>
      <c r="H977" s="1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12"/>
      <c r="E978" s="4"/>
      <c r="F978" s="12"/>
      <c r="G978" s="4"/>
      <c r="H978" s="1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12"/>
      <c r="E979" s="4"/>
      <c r="F979" s="12"/>
      <c r="G979" s="4"/>
      <c r="H979" s="1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12"/>
      <c r="E980" s="4"/>
      <c r="F980" s="12"/>
      <c r="G980" s="4"/>
      <c r="H980" s="1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12"/>
      <c r="E981" s="4"/>
      <c r="F981" s="12"/>
      <c r="G981" s="4"/>
      <c r="H981" s="1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12"/>
      <c r="E982" s="4"/>
      <c r="F982" s="12"/>
      <c r="G982" s="4"/>
      <c r="H982" s="1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12"/>
      <c r="E983" s="4"/>
      <c r="F983" s="12"/>
      <c r="G983" s="4"/>
      <c r="H983" s="1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12"/>
      <c r="E984" s="4"/>
      <c r="F984" s="12"/>
      <c r="G984" s="4"/>
      <c r="H984" s="1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12"/>
      <c r="E985" s="4"/>
      <c r="F985" s="12"/>
      <c r="G985" s="4"/>
      <c r="H985" s="1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12"/>
      <c r="E986" s="4"/>
      <c r="F986" s="12"/>
      <c r="G986" s="4"/>
      <c r="H986" s="1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12"/>
      <c r="E987" s="4"/>
      <c r="F987" s="12"/>
      <c r="G987" s="4"/>
      <c r="H987" s="1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12"/>
      <c r="E988" s="4"/>
      <c r="F988" s="12"/>
      <c r="G988" s="4"/>
      <c r="H988" s="1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12"/>
      <c r="E989" s="4"/>
      <c r="F989" s="12"/>
      <c r="G989" s="4"/>
      <c r="H989" s="1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12"/>
      <c r="E990" s="4"/>
      <c r="F990" s="12"/>
      <c r="G990" s="4"/>
      <c r="H990" s="1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12"/>
      <c r="E991" s="4"/>
      <c r="F991" s="12"/>
      <c r="G991" s="4"/>
      <c r="H991" s="1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12"/>
      <c r="E992" s="4"/>
      <c r="F992" s="12"/>
      <c r="G992" s="4"/>
      <c r="H992" s="1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12"/>
      <c r="E993" s="4"/>
      <c r="F993" s="12"/>
      <c r="G993" s="4"/>
      <c r="H993" s="1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12"/>
      <c r="E994" s="4"/>
      <c r="F994" s="12"/>
      <c r="G994" s="4"/>
      <c r="H994" s="1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12"/>
      <c r="E995" s="4"/>
      <c r="F995" s="12"/>
      <c r="G995" s="4"/>
      <c r="H995" s="1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12"/>
      <c r="E996" s="4"/>
      <c r="F996" s="12"/>
      <c r="G996" s="4"/>
      <c r="H996" s="1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12"/>
      <c r="E997" s="4"/>
      <c r="F997" s="12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12"/>
      <c r="E998" s="4"/>
      <c r="F998" s="12"/>
      <c r="G998" s="4"/>
      <c r="H998" s="1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12"/>
      <c r="E999" s="4"/>
      <c r="F999" s="12"/>
      <c r="G999" s="4"/>
      <c r="H999" s="1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12"/>
      <c r="E1000" s="4"/>
      <c r="F1000" s="12"/>
      <c r="G1000" s="4"/>
      <c r="H1000" s="1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12"/>
      <c r="E1001" s="4"/>
      <c r="F1001" s="12"/>
      <c r="G1001" s="4"/>
      <c r="H1001" s="1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12"/>
      <c r="E1002" s="4"/>
      <c r="F1002" s="12"/>
      <c r="G1002" s="4"/>
      <c r="H1002" s="1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12"/>
      <c r="E1003" s="4"/>
      <c r="F1003" s="12"/>
      <c r="G1003" s="4"/>
      <c r="H1003" s="1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12"/>
      <c r="E1004" s="4"/>
      <c r="F1004" s="12"/>
      <c r="G1004" s="4"/>
      <c r="H1004" s="1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12"/>
      <c r="E1005" s="4"/>
      <c r="F1005" s="12"/>
      <c r="G1005" s="4"/>
      <c r="H1005" s="1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12"/>
      <c r="E1006" s="4"/>
      <c r="F1006" s="12"/>
      <c r="G1006" s="4"/>
      <c r="H1006" s="1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12"/>
      <c r="E1007" s="4"/>
      <c r="F1007" s="12"/>
      <c r="G1007" s="4"/>
      <c r="H1007" s="1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12"/>
      <c r="E1008" s="4"/>
      <c r="F1008" s="12"/>
      <c r="G1008" s="4"/>
      <c r="H1008" s="1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12"/>
      <c r="E1009" s="4"/>
      <c r="F1009" s="12"/>
      <c r="G1009" s="4"/>
      <c r="H1009" s="1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12"/>
      <c r="E1010" s="4"/>
      <c r="F1010" s="12"/>
      <c r="G1010" s="4"/>
      <c r="H1010" s="1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12"/>
      <c r="E1011" s="4"/>
      <c r="F1011" s="12"/>
      <c r="G1011" s="4"/>
      <c r="H1011" s="1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12"/>
      <c r="E1012" s="4"/>
      <c r="F1012" s="12"/>
      <c r="G1012" s="4"/>
      <c r="H1012" s="1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12"/>
      <c r="E1013" s="4"/>
      <c r="F1013" s="12"/>
      <c r="G1013" s="4"/>
      <c r="H1013" s="1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12"/>
      <c r="E1014" s="4"/>
      <c r="F1014" s="12"/>
      <c r="G1014" s="4"/>
      <c r="H1014" s="1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</sheetData>
  <drawing r:id="rId1"/>
  <tableParts count="5">
    <tablePart r:id="rId7"/>
    <tablePart r:id="rId8"/>
    <tablePart r:id="rId9"/>
    <tablePart r:id="rId10"/>
    <tablePart r:id="rId11"/>
  </tableParts>
</worksheet>
</file>